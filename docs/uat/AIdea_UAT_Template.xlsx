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christopher.gerard\Downloads\aidea-platform - Copy\docs\uat\"/>
    </mc:Choice>
  </mc:AlternateContent>
  <xr:revisionPtr revIDLastSave="0" documentId="13_ncr:1_{63ACDE59-B0AC-4087-BB66-F7F1890AF756}" xr6:coauthVersionLast="47" xr6:coauthVersionMax="47" xr10:uidLastSave="{00000000-0000-0000-0000-000000000000}"/>
  <bookViews>
    <workbookView xWindow="1140" yWindow="1140" windowWidth="14400" windowHeight="8170" xr2:uid="{00000000-000D-0000-FFFF-FFFF00000000}"/>
  </bookViews>
  <sheets>
    <sheet name="Cover" sheetId="1" r:id="rId1"/>
    <sheet name="Test Cases" sheetId="2" r:id="rId2"/>
    <sheet name="Summary Dashboard" sheetId="3" r:id="rId3"/>
    <sheet name="Defect Log" sheetId="4" r:id="rId4"/>
    <sheet name="Test Accounts &amp; Data" sheetId="5" r:id="rId5"/>
    <sheet name="Sign-off"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3" i="3" l="1"/>
  <c r="B33" i="3"/>
  <c r="C32" i="3"/>
  <c r="B32" i="3"/>
  <c r="C31" i="3"/>
  <c r="B31" i="3"/>
  <c r="C30" i="3"/>
  <c r="B35" i="3" s="1"/>
  <c r="B16" i="6" s="1"/>
  <c r="B30" i="3"/>
  <c r="E26" i="3"/>
  <c r="D26" i="3"/>
  <c r="C26" i="3"/>
  <c r="H26" i="3" s="1"/>
  <c r="B26" i="3"/>
  <c r="E25" i="3"/>
  <c r="D25" i="3"/>
  <c r="C25" i="3"/>
  <c r="H25" i="3" s="1"/>
  <c r="B25" i="3"/>
  <c r="E24" i="3"/>
  <c r="D24" i="3"/>
  <c r="C24" i="3"/>
  <c r="B24" i="3"/>
  <c r="E19" i="3"/>
  <c r="D19" i="3"/>
  <c r="C19" i="3"/>
  <c r="H19" i="3" s="1"/>
  <c r="B19" i="3"/>
  <c r="E18" i="3"/>
  <c r="D18" i="3"/>
  <c r="C18" i="3"/>
  <c r="H18" i="3" s="1"/>
  <c r="B18" i="3"/>
  <c r="E17" i="3"/>
  <c r="D17" i="3"/>
  <c r="C17" i="3"/>
  <c r="H17" i="3" s="1"/>
  <c r="B17" i="3"/>
  <c r="E16" i="3"/>
  <c r="D16" i="3"/>
  <c r="C16" i="3"/>
  <c r="H16" i="3" s="1"/>
  <c r="B16" i="3"/>
  <c r="E15" i="3"/>
  <c r="D15" i="3"/>
  <c r="C15" i="3"/>
  <c r="H15" i="3" s="1"/>
  <c r="B15" i="3"/>
  <c r="E14" i="3"/>
  <c r="D14" i="3"/>
  <c r="C14" i="3"/>
  <c r="B14" i="3"/>
  <c r="E13" i="3"/>
  <c r="D13" i="3"/>
  <c r="C13" i="3"/>
  <c r="B13" i="3"/>
  <c r="E12" i="3"/>
  <c r="D12" i="3"/>
  <c r="C12" i="3"/>
  <c r="H12" i="3" s="1"/>
  <c r="B12" i="3"/>
  <c r="E11" i="3"/>
  <c r="D11" i="3"/>
  <c r="C11" i="3"/>
  <c r="H11" i="3" s="1"/>
  <c r="B11" i="3"/>
  <c r="E10" i="3"/>
  <c r="D10" i="3"/>
  <c r="C10" i="3"/>
  <c r="B10" i="3"/>
  <c r="E9" i="3"/>
  <c r="D9" i="3"/>
  <c r="C9" i="3"/>
  <c r="B9" i="3"/>
  <c r="E8" i="3"/>
  <c r="D8" i="3"/>
  <c r="C8" i="3"/>
  <c r="H8" i="3" s="1"/>
  <c r="B8" i="3"/>
  <c r="E7" i="3"/>
  <c r="D7" i="3"/>
  <c r="C7" i="3"/>
  <c r="B7" i="3"/>
  <c r="E6" i="3"/>
  <c r="E20" i="3" s="1"/>
  <c r="D6" i="3"/>
  <c r="D20" i="3" s="1"/>
  <c r="C6" i="3"/>
  <c r="B6" i="3"/>
  <c r="B20" i="3" s="1"/>
  <c r="H7" i="3" l="1"/>
  <c r="H9" i="3"/>
  <c r="H24" i="3"/>
  <c r="H14" i="3"/>
  <c r="H13" i="3"/>
  <c r="G18" i="3"/>
  <c r="F18" i="3"/>
  <c r="H6" i="3"/>
  <c r="C20" i="3"/>
  <c r="F26" i="3"/>
  <c r="G26" i="3"/>
  <c r="F25" i="3"/>
  <c r="G25" i="3"/>
  <c r="F24" i="3"/>
  <c r="G24" i="3"/>
  <c r="G19" i="3"/>
  <c r="F19" i="3"/>
  <c r="G17" i="3"/>
  <c r="F17" i="3"/>
  <c r="G16" i="3"/>
  <c r="F16" i="3"/>
  <c r="G15" i="3"/>
  <c r="F15" i="3"/>
  <c r="G14" i="3"/>
  <c r="F14" i="3"/>
  <c r="F13" i="3"/>
  <c r="G13" i="3"/>
  <c r="G12" i="3"/>
  <c r="F12" i="3"/>
  <c r="F11" i="3"/>
  <c r="G11" i="3"/>
  <c r="F10" i="3"/>
  <c r="G10" i="3"/>
  <c r="H10" i="3"/>
  <c r="G9" i="3"/>
  <c r="F9" i="3"/>
  <c r="G8" i="3"/>
  <c r="F8" i="3"/>
  <c r="G7" i="3"/>
  <c r="F7" i="3"/>
  <c r="G6" i="3"/>
  <c r="F6" i="3"/>
  <c r="G20" i="3" l="1"/>
  <c r="H20" i="3"/>
  <c r="F20" i="3"/>
</calcChain>
</file>

<file path=xl/sharedStrings.xml><?xml version="1.0" encoding="utf-8"?>
<sst xmlns="http://schemas.openxmlformats.org/spreadsheetml/2006/main" count="870" uniqueCount="583">
  <si>
    <t>Godrej Consumer Products · AIdea UAT</t>
  </si>
  <si>
    <t>AIdea – User Acceptance Testing</t>
  </si>
  <si>
    <t>End-to-end feature testing for the AI Innovation Challenge platform</t>
  </si>
  <si>
    <t>Purpose</t>
  </si>
  <si>
    <t>Confirm that every AIdea flow works end to end before go-live, from idea submission to published Favorite Project results.</t>
  </si>
  <si>
    <t>In scope</t>
  </si>
  <si>
    <t>Sign-in and accounts, program setup, idea submission, reviewer routing, mentor review, screening, qualifier, project mentor, presentation upload, team membership, final presentation, showcase content, voting, voting results, reports, audit, notifications, theme and mobile.</t>
  </si>
  <si>
    <t>Out of scope</t>
  </si>
  <si>
    <t>Performance and load, Microsoft SSO tenant setup, email delivery (the app does not send email), penetration testing.</t>
  </si>
  <si>
    <t>Environment URL</t>
  </si>
  <si>
    <t>Build / commit</t>
  </si>
  <si>
    <t>Database</t>
  </si>
  <si>
    <t>Test window</t>
  </si>
  <si>
    <t>UAT program name</t>
  </si>
  <si>
    <t>How to use</t>
  </si>
  <si>
    <t>1. Prepare accounts and data from "Test Accounts &amp; Data". Run UAT in a dedicated program: every Publish button publishes all ready ideas in the active program.
2. Run the journeys in order (J01 → J14); later cases reuse data from earlier ones (UAT Idea A, B, C).
3. For each case fill the yellow columns: Actual result, Status, Defect ID, Tester, Date, Evidence.
4. For every Fail, add a row in "Defect Log" and put its Defect ID on the case.
5. "Summary Dashboard" updates automatically. Collect approvals in "Sign-off".</t>
  </si>
  <si>
    <t>Status values</t>
  </si>
  <si>
    <t>Not run · Pass · Fail · Blocked (cannot run because of another defect or missing data)</t>
  </si>
  <si>
    <t>[Known gap] cases</t>
  </si>
  <si>
    <t>Cases marked [Known gap] describe the intended behaviour for an issue already known in the current build. Run them and log a defect if the build behaves differently, so the gap is tracked.</t>
  </si>
  <si>
    <t>Language</t>
  </si>
  <si>
    <t>Steps and expected results are given in English and Bahasa Indonesia. Button and menu names stay in English as shown in the app. The Bahasa Indonesia text is a draft translation and should be reviewed by a native speaker.</t>
  </si>
  <si>
    <t>Cells to edit</t>
  </si>
  <si>
    <t>Yellow cells are for testers. Do not edit formulas on the Summary Dashboard.</t>
  </si>
  <si>
    <t>Test Cases</t>
  </si>
  <si>
    <t>46 end-to-end cases across 14 journeys · fill the yellow columns</t>
  </si>
  <si>
    <t>ID</t>
  </si>
  <si>
    <t>Journey</t>
  </si>
  <si>
    <t>Module</t>
  </si>
  <si>
    <t>Scenario</t>
  </si>
  <si>
    <t>Type</t>
  </si>
  <si>
    <t>Priority</t>
  </si>
  <si>
    <t>Tester role</t>
  </si>
  <si>
    <t>Preconditions</t>
  </si>
  <si>
    <t>Test data</t>
  </si>
  <si>
    <t>Steps (EN)</t>
  </si>
  <si>
    <t>Steps (ID)</t>
  </si>
  <si>
    <t>Expected result (EN)</t>
  </si>
  <si>
    <t>Expected result (ID)</t>
  </si>
  <si>
    <t>Actual result</t>
  </si>
  <si>
    <t>Status</t>
  </si>
  <si>
    <t>Defect ID</t>
  </si>
  <si>
    <t>Tester</t>
  </si>
  <si>
    <t>Date</t>
  </si>
  <si>
    <t>Evidence / notes</t>
  </si>
  <si>
    <t>E2E-01-01</t>
  </si>
  <si>
    <t>J01 Access &amp; accounts</t>
  </si>
  <si>
    <t>User Management</t>
  </si>
  <si>
    <t>Admin creates a user and receives a one-time temporary password</t>
  </si>
  <si>
    <t>Positive</t>
  </si>
  <si>
    <t>High</t>
  </si>
  <si>
    <t>ADM-1</t>
  </si>
  <si>
    <t>Signed in as ADM-1. Email domain is on the allow-list.</t>
  </si>
  <si>
    <t>Full name "UAT Tester One", a new work email, Role = User</t>
  </si>
  <si>
    <t>1. Open People › User Management.
2. Click Add user.
3. Enter Full name, Work email, Role = User. Leave Temporary password empty.
4. Click Create user.
5. Click Copy, then Done.</t>
  </si>
  <si>
    <t>1. Buka People › User Management.
2. Klik Add user.
3. Isi Full name, Work email, Role = User. Kosongkan Temporary password.
4. Klik Create user.
5. Klik Copy, lalu Done.</t>
  </si>
  <si>
    <t>A "Temporary password" dialog shows a generated password once. The user appears in the list with the "Password change pending" badge. Reports &amp; Audit shows a user_created entry.</t>
  </si>
  <si>
    <t>Dialog "Temporary password" menampilkan kata sandi sekali saja. Pengguna muncul di daftar dengan badge "Password change pending". Audit mencatat user_created.</t>
  </si>
  <si>
    <t>Not run</t>
  </si>
  <si>
    <t>E2E-01-02</t>
  </si>
  <si>
    <t>Sign-in</t>
  </si>
  <si>
    <t>First sign-in forces a password change</t>
  </si>
  <si>
    <t>New user from E2E-01-01</t>
  </si>
  <si>
    <t>E2E-01-01 passed.</t>
  </si>
  <si>
    <t>Temporary password from E2E-01-01; new password of 12+ characters</t>
  </si>
  <si>
    <t>1. Sign in with the temporary password.
2. Try to open /overview.
3. On Change password, enter a new password of 11 characters.
4. Enter the current password as the new password.
5. Enter a valid 12+ character password in New password and Confirm new password. Click Change password.</t>
  </si>
  <si>
    <t>1. Login dengan kata sandi sementara.
2. Coba buka /overview.
3. Di Change password, isi kata sandi baru 11 karakter.
4. Isi kata sandi lama sebagai kata sandi baru.
5. Isi kata sandi valid 12+ karakter di New password dan Confirm new password. Klik Change password.</t>
  </si>
  <si>
    <t>Every page redirects to /profile/password. An 11-character password is rejected (minimum 12). Reusing the current password shows "New password must be different from the current one". A valid change shows "Password changed" and opens the home page. The pending badge disappears in User Management.</t>
  </si>
  <si>
    <t>Semua halaman diarahkan ke /profile/password. Kata sandi 11 karakter ditolak (minimal 12). Kata sandi lama ditolak dengan pesan "New password must be different from the current one". Perubahan valid menampilkan "Password changed" lalu ke beranda. Badge pending hilang.</t>
  </si>
  <si>
    <t>E2E-01-03</t>
  </si>
  <si>
    <t>Sign-in is locked after 5 failed attempts</t>
  </si>
  <si>
    <t>Negative</t>
  </si>
  <si>
    <t>Medium</t>
  </si>
  <si>
    <t>PAR-3</t>
  </si>
  <si>
    <t>PAR-3 has not failed sign-in in the last 10 minutes.</t>
  </si>
  <si>
    <t>Wrong password x5, then the correct password</t>
  </si>
  <si>
    <t>1. On /sign-in enter PAR-3 email with a wrong password 5 times.
2. On the 6th attempt enter the correct password.</t>
  </si>
  <si>
    <t>1. Di /sign-in masukkan email PAR-3 dengan kata sandi salah 5 kali.
2. Pada percobaan ke-6 masukkan kata sandi yang benar.</t>
  </si>
  <si>
    <t>Attempts 1–5 show "Invalid email or password". Attempt 6 shows "Too many sign-in attempts. Please wait a few minutes and try again." even with the correct password. Sign-in works again after 10 minutes. (The counter also resets when the server restarts.)</t>
  </si>
  <si>
    <t>Percobaan 1–5 menampilkan "Invalid email or password". Percobaan ke-6 menampilkan "Too many sign-in attempts…" meskipun kata sandi benar. Login kembali bisa setelah 10 menit.</t>
  </si>
  <si>
    <t>E2E-01-04</t>
  </si>
  <si>
    <t>Deactivated account cannot sign in; reactivation restores access</t>
  </si>
  <si>
    <t>ADM-1, user from E2E-01-01</t>
  </si>
  <si>
    <t>User from E2E-01-01 is signed in on another browser.</t>
  </si>
  <si>
    <t>User email (typed as confirmation)</t>
  </si>
  <si>
    <t>1. As ADM-1, open User Management and click Deactivate on the user. Type the user's email to confirm.
2. In the user's browser, refresh any page.
3. Try to sign in again as the user.
4. As ADM-1, click Reactivate. Sign in as the user.</t>
  </si>
  <si>
    <t>1. Sebagai ADM-1, buka User Management dan klik Deactivate pada pengguna. Ketik email pengguna untuk konfirmasi.
2. Di browser pengguna, refresh halaman.
3. Coba login lagi sebagai pengguna.
4. Sebagai ADM-1, klik Reactivate. Login sebagai pengguna.</t>
  </si>
  <si>
    <t>Refresh sends the user to /sign-in. Sign-in shows "This account has been deactivated." The row shows the Deactivated badge. After Reactivate, sign-in works.</t>
  </si>
  <si>
    <t>Refresh mengarahkan pengguna ke /sign-in. Login menampilkan "This account has been deactivated." Setelah Reactivate, login berhasil.</t>
  </si>
  <si>
    <t>E2E-01-05</t>
  </si>
  <si>
    <t>Access control</t>
  </si>
  <si>
    <t>Each role only reaches its own pages</t>
  </si>
  <si>
    <t>PAR-1, MEN-A, VOT-1, signed-out browser</t>
  </si>
  <si>
    <t>None.</t>
  </si>
  <si>
    <t>URLs /screening, /reviews, /ideas, /voting-management</t>
  </si>
  <si>
    <t>1. Signed out, open /ideas.
2. Sign in as PAR-1 and open /screening and /reviews.
3. Sign in as MEN-A and open /voting-management.
4. Sign in as VOT-1 (voter only).</t>
  </si>
  <si>
    <t>1. Tanpa login, buka /ideas.
2. Login sebagai PAR-1 lalu buka /screening dan /reviews.
3. Login sebagai MEN-A lalu buka /voting-management.
4. Login sebagai VOT-1 (hanya voter).</t>
  </si>
  <si>
    <t>Step 1 goes to /sign-in and returns to the page after sign-in only if the user is allowed. Steps 2–3 show /access-denied with Back to home. VOT-1 lands on /voting and sees only Voting, Mentor Profile and Notifications in the menu.</t>
  </si>
  <si>
    <t>Langkah 1 diarahkan ke /sign-in. Langkah 2–3 menampilkan /access-denied dengan tombol Back to home. VOT-1 masuk ke /voting dan hanya melihat menu Voting, Mentor Profile, dan Notifications.</t>
  </si>
  <si>
    <t>E2E-01-06</t>
  </si>
  <si>
    <t>Admin limits: cannot manage admins/developers or own account</t>
  </si>
  <si>
    <t>Another admin account exists.</t>
  </si>
  <si>
    <t>-</t>
  </si>
  <si>
    <t>1. As ADM-1, try to change another admin's role.
2. Try to deactivate your own account.
3. Try to change a mentor with pending reviews to User.</t>
  </si>
  <si>
    <t>1. Sebagai ADM-1, coba ubah role admin lain.
2. Coba nonaktifkan akun sendiri.
3. Coba ubah mentor yang masih punya review pending menjadi User.</t>
  </si>
  <si>
    <t>Admins cannot change admin or developer accounts. Own account shows "…deactivate your own account" error. Mentor with pending reviews shows "This mentor still has pending review assignments. Reassign them in Review Assignment first."</t>
  </si>
  <si>
    <t>Admin tidak bisa mengubah akun admin/developer. Akun sendiri tidak bisa dinonaktifkan. Mentor dengan review pending menampilkan pesan untuk reassign dulu.</t>
  </si>
  <si>
    <t>E2E-02-01</t>
  </si>
  <si>
    <t>J02 Program setup</t>
  </si>
  <si>
    <t>Program</t>
  </si>
  <si>
    <t>Admin configures the active program</t>
  </si>
  <si>
    <t>A dedicated UAT program is active (see Test Accounts &amp; Data).</t>
  </si>
  <si>
    <t>Title, description, 8 milestone dates in order</t>
  </si>
  <si>
    <t>1. Open Program.
2. Enter Title, Description and all dates (Submission opens … Voting closes). Use Now on Submission opens.
3. Click Save configuration.
4. Open Overview as PAR-1.</t>
  </si>
  <si>
    <t>1. Buka Program.
2. Isi Title, Description, dan semua tanggal. Gunakan Now pada Submission opens.
3. Klik Save configuration.
4. Buka Overview sebagai PAR-1.</t>
  </si>
  <si>
    <t>Configuration is saved and audited (program_config_updated). The participant overview timeline shows the dates and "Submit your idea by …".</t>
  </si>
  <si>
    <t>Konfigurasi tersimpan dan tercatat di audit. Timeline di overview peserta menampilkan tanggal dan "Submit your idea by …".</t>
  </si>
  <si>
    <t>E2E-02-02</t>
  </si>
  <si>
    <t>[Known gap] Program configuration rejects invalid input</t>
  </si>
  <si>
    <t>Low</t>
  </si>
  <si>
    <t>Signed in as ADM-1.</t>
  </si>
  <si>
    <t>Blank title; Submission closes before Submission opens</t>
  </si>
  <si>
    <t>1. Clear Title.
2. Set Submission closes earlier than Submission opens.
3. Click Save configuration.</t>
  </si>
  <si>
    <t>1. Kosongkan Title.
2. Atur Submission closes lebih awal dari Submission opens.
3. Klik Save configuration.</t>
  </si>
  <si>
    <t>Save is refused with a clear message for the blank title and the wrong date order. (Current build accepts both — log a defect if so.)</t>
  </si>
  <si>
    <t>Penyimpanan ditolak dengan pesan jelas untuk judul kosong dan urutan tanggal yang salah. (Build saat ini menerima keduanya — catat defect.)</t>
  </si>
  <si>
    <t>E2E-02-03</t>
  </si>
  <si>
    <t>Program resource upload limits</t>
  </si>
  <si>
    <t>PDF 2 MB; PDF 11 MB; tool.exe</t>
  </si>
  <si>
    <t>1. In the Resources panel click Upload and choose the 2 MB PDF.
2. Upload the 11 MB PDF.
3. Upload tool.exe.</t>
  </si>
  <si>
    <t>1. Di panel Resources klik Upload dan pilih PDF 2 MB.
2. Upload PDF 11 MB.
3. Upload tool.exe.</t>
  </si>
  <si>
    <t>The 2 MB file is listed. The 11 MB file is refused (max 10 MB). tool.exe shows "This file type is not allowed."</t>
  </si>
  <si>
    <t>File 2 MB tercantum. File 11 MB ditolak (maks 10 MB). tool.exe menampilkan "This file type is not allowed."</t>
  </si>
  <si>
    <t>E2E-03-01</t>
  </si>
  <si>
    <t>J03 Submit idea</t>
  </si>
  <si>
    <t>Submit New Idea</t>
  </si>
  <si>
    <t>Incomplete form shows the validation summary</t>
  </si>
  <si>
    <t>PAR-1</t>
  </si>
  <si>
    <t>Active program exists.</t>
  </si>
  <si>
    <t>Empty form</t>
  </si>
  <si>
    <t>1. Open Submit New Idea.
2. Click Submit idea without filling anything.
3. Click one of the links in the summary.</t>
  </si>
  <si>
    <t>1. Buka Submit New Idea.
2. Klik Submit idea tanpa mengisi apa pun.
3. Klik salah satu tautan di ringkasan.</t>
  </si>
  <si>
    <t>A summary "Fix N fields to submit your idea" appears. Each link jumps to its field. No confirmation dialog opens.</t>
  </si>
  <si>
    <t>Muncul ringkasan "Fix N fields to submit your idea". Setiap tautan menuju kolom terkait. Dialog konfirmasi tidak muncul.</t>
  </si>
  <si>
    <t>E2E-03-02</t>
  </si>
  <si>
    <t>Participant submits a complete idea (main journey idea "UAT Idea A")</t>
  </si>
  <si>
    <t>MEN-A and MEN-B have mentor profiles with free capacity.</t>
  </si>
  <si>
    <t>Title "UAT Idea A", team "Team A", leader PAR-1, member PAR-2, impact Revenue growth, Mentor Priority 1 = MEN-A, Priority 2 = MEN-B</t>
  </si>
  <si>
    <t>1. Fill Your idea (title 5+, problem 20+, solution 20+, target users).
2. Team Name, Team Leader = PAR-1, add PAR-2 as member.
3. Business Impact: Impact Type, explanation, measurable result.
4. Mentor Priority 1 and 2.
5. Click Submit idea, then Submit idea in the dialog.</t>
  </si>
  <si>
    <t>1. Isi Your idea (judul 5+, masalah 20+, solusi 20+, target pengguna).
2. Team Name, Team Leader = PAR-1, tambahkan PAR-2 sebagai anggota.
3. Business Impact: Impact Type, penjelasan, hasil terukur.
4. Mentor Priority 1 dan 2.
5. Klik Submit idea, lalu Submit idea di dialog.</t>
  </si>
  <si>
    <t>"Idea submitted" shows and My Ideas lists UAT Idea A as Submitted with Your role = Team leader. The idea can no longer be edited. MEN-A receives "New review assigned". PAR-2 sees the idea as Team member.</t>
  </si>
  <si>
    <t>Muncul "Idea submitted" dan My Ideas menampilkan UAT Idea A berstatus Submitted. Ide tidak bisa diedit. MEN-A menerima "New review assigned". PAR-2 melihat ide sebagai Team member.</t>
  </si>
  <si>
    <t>E2E-03-03</t>
  </si>
  <si>
    <t>Team and mentor rules on the form</t>
  </si>
  <si>
    <t>6 active employees available.</t>
  </si>
  <si>
    <t>Five members + one more; duplicate member; same mentor twice</t>
  </si>
  <si>
    <t>1. Add 5 team members, then try to add a 6th.
2. Try to add the same person twice, and the leader as a member.
3. Choose the same mentor for Priority 1 and Priority 2.</t>
  </si>
  <si>
    <t>1. Tambahkan 5 anggota tim, lalu coba tambah yang ke-6.
2. Coba tambah orang yang sama dua kali, dan leader sebagai anggota.
3. Pilih mentor yang sama untuk Priority 1 dan Priority 2.</t>
  </si>
  <si>
    <t>A 6th member cannot be added. Duplicates and the leader-as-member are rejected. The mentor already chosen is disabled with "Already your priority 1".</t>
  </si>
  <si>
    <t>Anggota ke-6 tidak bisa ditambahkan. Duplikat dan leader sebagai anggota ditolak. Mentor yang sudah dipilih nonaktif dengan keterangan "Already your priority 1".</t>
  </si>
  <si>
    <t>E2E-03-04</t>
  </si>
  <si>
    <t>Save a draft and continue later</t>
  </si>
  <si>
    <t>Title only</t>
  </si>
  <si>
    <t>1. Enter a title and click Save draft.
2. Open My Ideas.
3. Try to reopen the draft to continue editing.</t>
  </si>
  <si>
    <t>1. Isi judul lalu klik Save draft.
2. Buka My Ideas.
3. Coba buka kembali draf untuk melanjutkan.</t>
  </si>
  <si>
    <t>"Draft saved" shows; My Ideas lists the idea as Draft. [Known gap] The draft can be reopened and edited (current build has no edit link — log a defect).</t>
  </si>
  <si>
    <t>Muncul "Draft saved"; My Ideas menampilkan ide berstatus Draft. [Known gap] Draf bisa dibuka dan diedit kembali (build saat ini tidak punya tautan edit — catat defect).</t>
  </si>
  <si>
    <t>E2E-03-05</t>
  </si>
  <si>
    <t>[Known gap] Only participants can submit, and only inside the submission window</t>
  </si>
  <si>
    <t>VOT-1, PAR-3</t>
  </si>
  <si>
    <t>Submission closes date is in the past for part 2 (change in Program, then restore).</t>
  </si>
  <si>
    <t>1. As VOT-1 (voter only), open /submit by URL.
2. Set Submission closes to yesterday. As PAR-3, try to submit a complete idea.</t>
  </si>
  <si>
    <t>1. Sebagai VOT-1 (hanya voter), buka /submit lewat URL.
2. Atur Submission closes ke kemarin. Sebagai PAR-3, coba kirim ide lengkap.</t>
  </si>
  <si>
    <t>VOT-1 is refused access. Submitting after the close date is refused. (Current build allows both — log defects.)</t>
  </si>
  <si>
    <t>VOT-1 ditolak aksesnya. Pengiriman setelah tanggal tutup ditolak. (Build saat ini mengizinkan keduanya — catat defect.)</t>
  </si>
  <si>
    <t>E2E-04-01</t>
  </si>
  <si>
    <t>J04 Reviewer routing</t>
  </si>
  <si>
    <t>Routing</t>
  </si>
  <si>
    <t>Idea goes to Priority 2 when Priority 1 is full</t>
  </si>
  <si>
    <t>PAR-2</t>
  </si>
  <si>
    <t>MEN-LOW has capacity 2 and already 2 pending reviews.</t>
  </si>
  <si>
    <t>Idea "UAT Idea B"; Priority 1 = MEN-LOW, Priority 2 = MEN-A</t>
  </si>
  <si>
    <t>1. Submit UAT Idea B with the mentors above.
2. As ADM-1, open Review Assignment.</t>
  </si>
  <si>
    <t>1. Kirim UAT Idea B dengan mentor di atas.
2. Sebagai ADM-1, buka Review Assignment.</t>
  </si>
  <si>
    <t>UAT Idea B is assigned to MEN-A. MEN-A receives "New review assigned". MEN-LOW gets nothing.</t>
  </si>
  <si>
    <t>UAT Idea B ditugaskan ke MEN-A. MEN-A menerima "New review assigned". MEN-LOW tidak menerima apa pun.</t>
  </si>
  <si>
    <t>E2E-04-02</t>
  </si>
  <si>
    <t>Review Assignment</t>
  </si>
  <si>
    <t>Both mentors full → Routing required → admin assigns</t>
  </si>
  <si>
    <t>PAR-3, ADM-1</t>
  </si>
  <si>
    <t>Both chosen mentors are at capacity.</t>
  </si>
  <si>
    <t>Idea "UAT Idea C"</t>
  </si>
  <si>
    <t>1. As PAR-3, submit UAT Idea C with two full mentors.
2. As ADM-1, open Notifications, then Review Assignment.
3. Click Assign on UAT Idea C, choose MEN-A, click Assign.</t>
  </si>
  <si>
    <t>1. Sebagai PAR-3, kirim UAT Idea C dengan dua mentor yang penuh.
2. Sebagai ADM-1, buka Notifications, lalu Review Assignment.
3. Klik Assign pada UAT Idea C, pilih MEN-A, klik Assign.</t>
  </si>
  <si>
    <t>Admins receive "Routing required". The idea shows status Routing required. After Assign, "Reviewer assigned" shows and MEN-A is notified. Capacity "x of y" is shown per mentor.</t>
  </si>
  <si>
    <t>Admin menerima "Routing required". Ide berstatus Routing required. Setelah Assign, muncul "Reviewer assigned" dan MEN-A mendapat notifikasi.</t>
  </si>
  <si>
    <t>E2E-04-03</t>
  </si>
  <si>
    <t>Changing a reviewer needs a reason</t>
  </si>
  <si>
    <t>ADM-1, MEN-B</t>
  </si>
  <si>
    <t>UAT Idea C is assigned to MEN-A and MEN-A has saved a draft review.</t>
  </si>
  <si>
    <t>Reason "Rebalancing workload"</t>
  </si>
  <si>
    <t>1. Click Change reviewer on UAT Idea C and choose MEN-B.
2. Try Confirm change with a 3-character reason.
3. Enter a 5+ character reason and click Confirm change.
4. As MEN-B, open the review from My Reviews.</t>
  </si>
  <si>
    <t>1. Klik Change reviewer pada UAT Idea C dan pilih MEN-B.
2. Coba Confirm change dengan alasan 3 karakter.
3. Isi alasan 5+ karakter lalu klik Confirm change.
4. Sebagai MEN-B, buka review dari My Reviews.</t>
  </si>
  <si>
    <t>Confirm change stays disabled until the reason has 5+ characters. "Reviewer changed" shows and is audited. MEN-B can open, fill and submit the review.</t>
  </si>
  <si>
    <t>Confirm change nonaktif sampai alasan 5+ karakter. Muncul "Reviewer changed" dan tercatat di audit. MEN-B bisa membuka, mengisi, dan mengirim review.</t>
  </si>
  <si>
    <t>E2E-05-01</t>
  </si>
  <si>
    <t>J05 Mentor review</t>
  </si>
  <si>
    <t>My Reviews</t>
  </si>
  <si>
    <t>Mentor submits a complete review</t>
  </si>
  <si>
    <t>MEN-A</t>
  </si>
  <si>
    <t>UAT Idea A is assigned to MEN-A.</t>
  </si>
  <si>
    <t>All Yes, Recommendation = Pass, comment 10+ characters</t>
  </si>
  <si>
    <t>1. Open My Reviews and click Start review on UAT Idea A.
2. Answer only Desirability and check Submit review.
3. Answer Viability and Realistic Implementation, choose Pass, write a comment.
4. Click Submit review and confirm.</t>
  </si>
  <si>
    <t>1. Buka My Reviews dan klik Start review pada UAT Idea A.
2. Jawab hanya Desirability dan periksa tombol Submit review.
3. Jawab Viability dan Realistic Implementation, pilih Pass, tulis komentar.
4. Klik Submit review dan konfirmasi.</t>
  </si>
  <si>
    <t>Submit review is disabled with "To submit, complete: …" until all fields are filled. After submit: "Review submitted", back on My Reviews, and the review is read-only with "Review completed".</t>
  </si>
  <si>
    <t>Submit review nonaktif dengan keterangan "To submit, complete: …" sampai semua terisi. Setelah dikirim: "Review submitted" dan review menjadi read-only dengan "Review completed".</t>
  </si>
  <si>
    <t>E2E-05-02</t>
  </si>
  <si>
    <t>Idea Management</t>
  </si>
  <si>
    <t>Admin reopens a submitted review</t>
  </si>
  <si>
    <t>ADM-1, MEN-A</t>
  </si>
  <si>
    <t>E2E-05-01 passed. Screening for UAT Idea A not yet published.</t>
  </si>
  <si>
    <t>Reason "Please add detail on viability."</t>
  </si>
  <si>
    <t>1. As ADM-1, open Idea Management › UAT Idea A.
2. Click Reopen review, enter the reason, click Reopen.
3. As MEN-A, open Notifications and the review. Edit and submit again.</t>
  </si>
  <si>
    <t>1. Sebagai ADM-1, buka Idea Management › UAT Idea A.
2. Klik Reopen review, isi alasan, klik Reopen.
3. Sebagai MEN-A, buka Notifications dan review. Ubah lalu kirim lagi.</t>
  </si>
  <si>
    <t>"Review reopened — the reviewer has been notified". MEN-A gets a notification with the reason and sees "This review was reopened" with the reason. The review can be edited and resubmitted. [Known gap] A reason shorter than 10 characters should be refused (current build accepts 1 character).</t>
  </si>
  <si>
    <t>Muncul "Review reopened — the reviewer has been notified". MEN-A menerima notifikasi berisi alasan, dapat mengubah dan mengirim ulang. [Known gap] Alasan kurang dari 10 karakter seharusnya ditolak.</t>
  </si>
  <si>
    <t>E2E-06-01</t>
  </si>
  <si>
    <t>J06 Screening</t>
  </si>
  <si>
    <t>Screening Decision</t>
  </si>
  <si>
    <t>Decision that differs from the mentor needs an internal reason</t>
  </si>
  <si>
    <t>UAT Idea B has a submitted review recommending Pass.</t>
  </si>
  <si>
    <t>Decision Not Pass; reason "Duplicate of an existing initiative"</t>
  </si>
  <si>
    <t>1. Open Screening Decision.
2. On UAT Idea B choose Not Pass.
3. Click Save decision with the reason empty.
4. Enter a 5+ character internal reason and click Save decision.</t>
  </si>
  <si>
    <t>1. Buka Screening Decision.
2. Pada UAT Idea B pilih Not Pass.
3. Klik Save decision dengan alasan kosong.
4. Isi alasan internal 5+ karakter lalu klik Save decision.</t>
  </si>
  <si>
    <t>The "Internal reason (required — differs from mentor recommendation)" field appears. Saving without it is refused. With the reason: "Screening decision saved".</t>
  </si>
  <si>
    <t>Kolom "Internal reason (required …)" muncul. Penyimpanan tanpa alasan ditolak. Dengan alasan: "Screening decision saved".</t>
  </si>
  <si>
    <t>E2E-06-02</t>
  </si>
  <si>
    <t>Saved decisions stay hidden until published; only Pass is notified</t>
  </si>
  <si>
    <t>ADM-1, PAR-1, PAR-2</t>
  </si>
  <si>
    <t>UAT Idea A saved as Pass to Idea Qualifier; UAT Idea B saved as Not Pass.</t>
  </si>
  <si>
    <t>Type PUBLISH</t>
  </si>
  <si>
    <t>1. As PAR-1, check My Ideas and Notifications.
2. As ADM-1, click Publish All Screening Results, type PUBLISH, click Publish.
3. As PAR-1 and PAR-2, check My Ideas and Notifications again.
4. As ADM-1, try to change UAT Idea A's decision.</t>
  </si>
  <si>
    <t>1. Sebagai PAR-1, periksa My Ideas dan Notifications.
2. Sebagai ADM-1, klik Publish All Screening Results, ketik PUBLISH, klik Publish.
3. Sebagai PAR-1 dan PAR-2, periksa lagi My Ideas dan Notifications.
4. Sebagai ADM-1, coba ubah keputusan UAT Idea A.</t>
  </si>
  <si>
    <t>Before publishing, no screening result is visible. After: "Published N record(s)". UAT Idea A shows Pass and its team gets "Your idea passed screening". UAT Idea B shows Not pass with no notification. The internal reason is never shown to participants. Published decisions are locked.</t>
  </si>
  <si>
    <t>Sebelum publish, hasil tidak terlihat. Setelah publish: UAT Idea A Pass dan tim menerima "Your idea passed screening". UAT Idea B Not pass tanpa notifikasi. Alasan internal tidak pernah terlihat. Keputusan terkunci.</t>
  </si>
  <si>
    <t>E2E-06-03</t>
  </si>
  <si>
    <t>Stage gates</t>
  </si>
  <si>
    <t>An unpublished Pass does not reach Idea Qualifier</t>
  </si>
  <si>
    <t>UAT Idea C saved as Pass to Idea Qualifier, not published.</t>
  </si>
  <si>
    <t>1. Open Idea Qualifier.
2. Publish screening, then open Idea Qualifier again.</t>
  </si>
  <si>
    <t>1. Buka Idea Qualifier.
2. Publish screening, lalu buka Idea Qualifier lagi.</t>
  </si>
  <si>
    <t>UAT Idea C is not listed before publishing and is listed after.</t>
  </si>
  <si>
    <t>UAT Idea C tidak tampil sebelum publish dan tampil setelahnya.</t>
  </si>
  <si>
    <t>E2E-07-01</t>
  </si>
  <si>
    <t>J07 Qualifier</t>
  </si>
  <si>
    <t>Idea Qualifier</t>
  </si>
  <si>
    <t>Finalizing needs a valid score, decision and comment</t>
  </si>
  <si>
    <t>UAT Idea A has a published screening Pass.</t>
  </si>
  <si>
    <t>Score 101, then 82; comment 5 chars, then 10+</t>
  </si>
  <si>
    <t>1. Open Idea Qualifier, enter score 101.
2. Enter 82, choose Build, comment of 5 characters, click Finalize Assessment.
3. Enter a 10+ character comment and click Finalize Assessment.</t>
  </si>
  <si>
    <t>1. Buka Idea Qualifier, isi nilai 101.
2. Isi 82, pilih Build, komentar 5 karakter, klik Finalize Assessment.
3. Isi komentar 10+ karakter lalu klik Finalize Assessment.</t>
  </si>
  <si>
    <t>101 shows "Enter a number between 0 and 100." A short comment is refused. A valid entry shows "Assessment finalized".</t>
  </si>
  <si>
    <t>Nilai 101 menampilkan "Enter a number between 0 and 100." Komentar pendek ditolak. Data valid menampilkan "Assessment finalized".</t>
  </si>
  <si>
    <t>E2E-07-02</t>
  </si>
  <si>
    <t>Publishing shows Build / No Build only and notifies Build teams</t>
  </si>
  <si>
    <t>ADM-1, PAR-1, PAR-3</t>
  </si>
  <si>
    <t>UAT Idea A finalized Build; UAT Idea C finalized No Build; one other idea saved as draft only.</t>
  </si>
  <si>
    <t>1. Click Publish All Qualifier Results, type PUBLISH, Publish.
2. As PAR-1 and PAR-3, check My Ideas and Notifications.</t>
  </si>
  <si>
    <t>1. Klik Publish All Qualifier Results, ketik PUBLISH, Publish.
2. Sebagai PAR-1 dan PAR-3, periksa My Ideas dan Notifications.</t>
  </si>
  <si>
    <t>Only finalized assessments are published; the draft stays unpublished. UAT Idea A shows Build and its team gets "Your idea was selected to Build". UAT Idea C shows Not build without a notification. Scores and comments are never visible to participants.</t>
  </si>
  <si>
    <t>Hanya penilaian final yang dipublikasikan. UAT Idea A Build dan tim menerima "Your idea was selected to Build". UAT Idea C Not build tanpa notifikasi. Nilai dan komentar tidak pernah terlihat peserta.</t>
  </si>
  <si>
    <t>E2E-08-01</t>
  </si>
  <si>
    <t>J08 Project mentor &amp; presentation</t>
  </si>
  <si>
    <t>Project Mentor</t>
  </si>
  <si>
    <t>Assign and publish a project mentor</t>
  </si>
  <si>
    <t>ADM-1, PAR-1, MEN-B</t>
  </si>
  <si>
    <t>UAT Idea A Build published; UAT Idea C No Build.</t>
  </si>
  <si>
    <t>Mentor MEN-B</t>
  </si>
  <si>
    <t>1. Open Project Mentor. Check UAT Idea C.
2. For UAT Idea A select MEN-B and click Save.
3. Click Publish Project Mentor Assignments, type PUBLISH.
4. As PAR-1 and MEN-B, check Notifications and My Ideas.</t>
  </si>
  <si>
    <t>1. Buka Project Mentor. Periksa UAT Idea C.
2. Untuk UAT Idea A pilih MEN-B lalu klik Save.
3. Klik Publish Project Mentor Assignments, ketik PUBLISH.
4. Sebagai PAR-1 dan MEN-B, periksa Notifications dan My Ideas.</t>
  </si>
  <si>
    <t>UAT Idea C shows "No project mentor needed: not qualified to build". Save shows "Project mentor saved (not yet visible to the team)". After publishing, the team and MEN-B get "Project mentor assigned" and My Ideas shows the mentor.</t>
  </si>
  <si>
    <t>UAT Idea C menampilkan "No project mentor needed…". Save menampilkan "Project mentor saved (not yet visible to the team)". Setelah publish, tim dan MEN-B menerima "Project mentor assigned".</t>
  </si>
  <si>
    <t>E2E-08-02</t>
  </si>
  <si>
    <t>My Ideas</t>
  </si>
  <si>
    <t>Presentation upload rules</t>
  </si>
  <si>
    <t>PAR-1, PAR-3</t>
  </si>
  <si>
    <t>UAT Idea A Build published. Use an idea with an unpublished Build for step 1.</t>
  </si>
  <si>
    <t>deck.pptx (&lt;25 MB), notes.docx, big.pdf (26 MB)</t>
  </si>
  <si>
    <t>1. On an idea whose Build is not yet published, check Upload presentation.
2. On UAT Idea A click Upload presentation and pick notes.docx, then big.pdf, then deck.pptx.
3. Click Replace with another .pdf.
4. As a creator who is not on the team, check the button.</t>
  </si>
  <si>
    <t>1. Pada ide yang Build-nya belum dipublikasikan, periksa Upload presentation.
2. Pada UAT Idea A klik Upload presentation dan pilih notes.docx, lalu big.pdf, lalu deck.pptx.
3. Klik Replace dengan file .pdf lain.
4. Sebagai pembuat ide yang bukan anggota tim, periksa tombolnya.</t>
  </si>
  <si>
    <t>Step 1: disabled with "Available once your idea is marked Build". .docx: "Only .pptx or .pdf files are allowed." 26 MB: "Presentation must be 25MB or smaller." .pptx uploads and the link appears; Replace swaps it. Non-team creator only sees the link.</t>
  </si>
  <si>
    <t>Langkah 1: nonaktif dengan "Available once your idea is marked Build". .docx ditolak, 26 MB ditolak. .pptx berhasil dan tautan muncul; Replace menggantinya. Pembuat non-anggota hanya melihat tautan.</t>
  </si>
  <si>
    <t>E2E-09-01</t>
  </si>
  <si>
    <t>J09 Team membership</t>
  </si>
  <si>
    <t>Member on two approved ideas must commit to one</t>
  </si>
  <si>
    <t>PAR-2 is on UAT Idea A and another idea; both have a published screening Pass. PAR-2 leads the other idea.</t>
  </si>
  <si>
    <t>Team name of UAT Idea A typed exactly</t>
  </si>
  <si>
    <t>1. As PAR-2, open My Ideas.
2. Click Commit to this idea on UAT Idea A.
3. Read the dialog; type a wrong team name, then the exact team name.
4. Click Commit and leave the other ideas.</t>
  </si>
  <si>
    <t>1. Sebagai PAR-2, buka My Ideas.
2. Klik Commit to this idea pada UAT Idea A.
3. Baca dialog; ketik nama tim yang salah, lalu nama tim yang tepat.
4. Klik Commit and leave the other ideas.</t>
  </si>
  <si>
    <t>The panel "Choose the idea you will commit to" appears. The dialog lists the idea being left and warns about leading it. The button stays disabled until the exact team name is typed. PAR-2 is removed from the other idea; its team gets "team member left"; admins get a leader-vacant notification and the idea shows "Leader vacant".</t>
  </si>
  <si>
    <t>Panel "Choose the idea you will commit to" muncul. Tombol nonaktif sampai nama tim diketik tepat. PAR-2 keluar dari ide lain; tim menerima notifikasi; admin menerima notifikasi leader kosong dan ide bertanda "Leader vacant".</t>
  </si>
  <si>
    <t>E2E-09-02</t>
  </si>
  <si>
    <t>Admin removes a member and assigns a replacement leader</t>
  </si>
  <si>
    <t>An idea with "Leader vacant" exists (from E2E-09-01).</t>
  </si>
  <si>
    <t>Reason "Left the company"; replacement PAR-3</t>
  </si>
  <si>
    <t>1. Open Idea Management › the idea.
2. Click Remove on a member; try a 3-character reason, then a 5+ character reason.
3. Click Assign leader, search PAR-3 and assign. If "Not eligible" shows, tick Override eligibility with a reason.</t>
  </si>
  <si>
    <t>1. Buka Idea Management › ide tersebut.
2. Klik Remove pada anggota; coba alasan 3 karakter, lalu 5+ karakter.
3. Klik Assign leader, cari PAR-3 lalu tetapkan. Jika muncul "Not eligible", centang Override eligibility dengan alasan.</t>
  </si>
  <si>
    <t>Remove needs a 5+ character reason. The removed person and the team are notified. The new leader is notified ("You are now a team leader") and the Leader vacant flag disappears. Add member is hidden once the team has 5 members.</t>
  </si>
  <si>
    <t>Remove butuh alasan 5+ karakter. Anggota yang dihapus dan tim mendapat notifikasi. Leader baru mendapat notifikasi dan tanda Leader vacant hilang.</t>
  </si>
  <si>
    <t>E2E-10-01</t>
  </si>
  <si>
    <t>J10 Final presentation</t>
  </si>
  <si>
    <t>Final Presentation</t>
  </si>
  <si>
    <t>Only ideas with a published Build are listed</t>
  </si>
  <si>
    <t>One idea finalized Build but not published.</t>
  </si>
  <si>
    <t>1. Open Final Presentation.
2. Publish the qualifier results and open Final Presentation again.</t>
  </si>
  <si>
    <t>1. Buka Final Presentation.
2. Publish hasil qualifier lalu buka Final Presentation lagi.</t>
  </si>
  <si>
    <t>The unpublished Build idea is missing before publishing and appears after. UAT Idea A is listed with its presentation link.</t>
  </si>
  <si>
    <t>Ide Build yang belum dipublikasikan tidak tampil sebelum publish dan tampil setelahnya.</t>
  </si>
  <si>
    <t>E2E-10-02</t>
  </si>
  <si>
    <t>A draft assessment puts the idea on the voting ballot</t>
  </si>
  <si>
    <t>UAT Idea A listed in Final Presentation. No winner published.</t>
  </si>
  <si>
    <t>Score 74, no decision</t>
  </si>
  <si>
    <t>1. Open Voting Management and note Candidates (N).
2. In Final Presentation enter score 74 for UAT Idea A and click Save Draft.
3. Open Voting Management again.</t>
  </si>
  <si>
    <t>1. Buka Voting Management dan catat Candidates (N).
2. Di Final Presentation isi nilai 74 untuk UAT Idea A lalu klik Save Draft.
3. Buka Voting Management lagi.</t>
  </si>
  <si>
    <t>"Draft saved". UAT Idea A now appears in Candidates (N+1), marked "Showcase content" or "No showcase content". No winner publication is needed.</t>
  </si>
  <si>
    <t>Muncul "Draft saved". UAT Idea A kini muncul di Candidates (N+1). Pemenang tidak perlu dipublikasikan dulu.</t>
  </si>
  <si>
    <t>E2E-10-03</t>
  </si>
  <si>
    <t>One Grand Winner and one Runner-up per program</t>
  </si>
  <si>
    <t>Two ideas listed in Final Presentation.</t>
  </si>
  <si>
    <t>Idea 1 = Winner / Grand Winner; Idea 2 = Winner</t>
  </si>
  <si>
    <t>1. Finalize idea 1 as Winner, Grand Winner, with a 10+ character comment.
2. On idea 2 choose Winner and look at the categories.
3. Try Finalize Assessment on idea 2 with Winner but no category.</t>
  </si>
  <si>
    <t>1. Finalisasi ide 1 sebagai Winner, Grand Winner, dengan komentar 10+ karakter.
2. Pada ide 2 pilih Winner dan lihat kategorinya.
3. Coba Finalize Assessment pada ide 2 dengan Winner tanpa kategori.</t>
  </si>
  <si>
    <t>Idea 1 shows "Assessment finalized". On idea 2, Grand Winner is disabled "(already assigned)". Finalizing a winner without a category is refused.</t>
  </si>
  <si>
    <t>Ide 1 "Assessment finalized". Pada ide 2, Grand Winner nonaktif "(already assigned)". Finalisasi Winner tanpa kategori ditolak.</t>
  </si>
  <si>
    <t>E2E-10-04</t>
  </si>
  <si>
    <t>Publishing final presentation results</t>
  </si>
  <si>
    <t>ADM-1, PAR-1</t>
  </si>
  <si>
    <t>At least one assessment finalized.</t>
  </si>
  <si>
    <t>1. Click Publish Final Presentation Results, type PUBLISH.
2. As the idea creator, open Notifications.
3. As ADM-1, try to edit the published assessment.</t>
  </si>
  <si>
    <t>1. Klik Publish Final Presentation Results, ketik PUBLISH.
2. Sebagai pembuat ide, buka Notifications.
3. Sebagai ADM-1, coba ubah penilaian yang sudah dipublikasikan.</t>
  </si>
  <si>
    <t>The creator gets "Final presentation result published". Published assessments are locked. Draft assessments are not published but stay on the ballot.</t>
  </si>
  <si>
    <t>Pembuat ide menerima "Final presentation result published". Penilaian terkunci. Draf tidak dipublikasikan tetapi tetap ada di daftar voting.</t>
  </si>
  <si>
    <t>E2E-11-01</t>
  </si>
  <si>
    <t>J11 Showcase content</t>
  </si>
  <si>
    <t>Showcase Content</t>
  </si>
  <si>
    <t>Showcase image and description decorate the ballot</t>
  </si>
  <si>
    <t>ADM-1, VOT-1</t>
  </si>
  <si>
    <t>UAT Idea A is a voting candidate.</t>
  </si>
  <si>
    <t>photo.png (&lt;5 MB), big.jpg (6 MB), anim.gif, description</t>
  </si>
  <si>
    <t>1. Open Showcase Content. Upload anim.gif, then big.jpg, then photo.png.
2. Enter a short description and click Save.
3. Click Publish Showcase Projects, type PUBLISH.
4. When voting is open, check the ballot as VOT-1.</t>
  </si>
  <si>
    <t>1. Buka Showcase Content. Upload anim.gif, lalu big.jpg, lalu photo.png.
2. Isi deskripsi singkat lalu klik Save.
3. Klik Publish Showcase Projects, ketik PUBLISH.
4. Saat voting dibuka, periksa daftar voting sebagai VOT-1.</t>
  </si>
  <si>
    <t>GIF: "Only PNG, JPEG or WebP images are allowed." 6 MB: "Image must be 5MB or smaller." PNG uploads with preview; "Showcase content saved". After publishing, the ballot shows the image and description. Ideas without showcase content still appear on the ballot.</t>
  </si>
  <si>
    <t>GIF dan 6 MB ditolak. PNG berhasil; "Showcase content saved". Setelah publish, daftar voting menampilkan gambar dan deskripsi. Ide tanpa konten showcase tetap tampil.</t>
  </si>
  <si>
    <t>E2E-12-01</t>
  </si>
  <si>
    <t>J12 Voting</t>
  </si>
  <si>
    <t>Voting Management</t>
  </si>
  <si>
    <t>Publish voting is disabled until it can work</t>
  </si>
  <si>
    <t>UAT program has no voting period yet.</t>
  </si>
  <si>
    <t>1. Open Voting Management.
2. Save a period whose Closes at is in the past.
3. (If possible in a program with no final presentation rows) check the button with 0 candidates.</t>
  </si>
  <si>
    <t>1. Buka Voting Management.
2. Simpan periode dengan Closes at di masa lalu.
3. (Jika memungkinkan, di program tanpa presentasi final) periksa tombol saat 0 kandidat.</t>
  </si>
  <si>
    <t>Publish voting is disabled and the bar explains why: "Save a voting period first.", "This voting period has already closed — change its dates first.", "No ideas have reached final presentation yet."</t>
  </si>
  <si>
    <t>Publish voting nonaktif dan keterangannya menjelaskan alasan: belum ada periode, periode sudah lewat, atau belum ada ide di presentasi final.</t>
  </si>
  <si>
    <t>E2E-12-02</t>
  </si>
  <si>
    <t>A saved voting period stays hidden until published</t>
  </si>
  <si>
    <t>At least one candidate exists.</t>
  </si>
  <si>
    <t>Opens at = now − 5 min; Closes at = tomorrow; Show percentages on</t>
  </si>
  <si>
    <t>1. Enter Opens at, Closes at, turn on Show percentages on results, click Save.
2. As VOT-1, open Voting.</t>
  </si>
  <si>
    <t>1. Isi Opens at, Closes at, aktifkan Show percentages on results, klik Save.
2. Sebagai VOT-1, buka Voting.</t>
  </si>
  <si>
    <t>"Voting period saved". VOT-1 sees "Voting isn't open right now" even though the time window is open.</t>
  </si>
  <si>
    <t>Muncul "Voting period saved". VOT-1 melihat "Voting isn't open right now" meskipun jadwal sudah berjalan.</t>
  </si>
  <si>
    <t>E2E-12-03</t>
  </si>
  <si>
    <t>Publishing voting opens it to every employee</t>
  </si>
  <si>
    <t>ADM-1, VOT-1, PAR-3</t>
  </si>
  <si>
    <t>E2E-12-02 passed.</t>
  </si>
  <si>
    <t>1. Click Publish voting, type PUBLISH, click Publish.
2. As VOT-1 and PAR-3, open Notifications and Voting.</t>
  </si>
  <si>
    <t>1. Klik Publish voting, ketik PUBLISH, klik Publish.
2. Sebagai VOT-1 dan PAR-3, buka Notifications dan Voting.</t>
  </si>
  <si>
    <t>Toast "Voting published — N user(s) notified". The bar shows "Voting open" and "Voting is published to every employee." Every active user has "Voting is open". The ballot lists every candidate.</t>
  </si>
  <si>
    <t>Muncul "Voting published — N user(s) notified". Status "Voting open". Semua pengguna aktif menerima "Voting is open". Daftar voting menampilkan semua kandidat.</t>
  </si>
  <si>
    <t>E2E-12-04</t>
  </si>
  <si>
    <t>Voting</t>
  </si>
  <si>
    <t>Employee votes once and sees no judging data</t>
  </si>
  <si>
    <t>VOT-1</t>
  </si>
  <si>
    <t>Voting published and open.</t>
  </si>
  <si>
    <t>Any candidate</t>
  </si>
  <si>
    <t>1. Open Voting. Check the page for scores, comments or winner decisions.
2. Choose a project and click Cast vote.
3. Reload the page and try to vote again.</t>
  </si>
  <si>
    <t>1. Buka Voting. Periksa apakah ada nilai, komentar, atau keputusan pemenang.
2. Pilih proyek dan klik Cast vote.
3. Muat ulang halaman dan coba memilih lagi.</t>
  </si>
  <si>
    <t>No score, comment, decision or category is shown. "Vote cast — thank you!". After reload the choice is kept and the button reads "Vote already cast" (disabled).</t>
  </si>
  <si>
    <t>Tidak ada nilai, komentar, atau keputusan. Muncul "Vote cast — thank you!". Setelah dimuat ulang, tombol menjadi "Vote already cast".</t>
  </si>
  <si>
    <t>E2E-12-05</t>
  </si>
  <si>
    <t>Team members cannot vote for their own idea</t>
  </si>
  <si>
    <t>UAT Idea A is a candidate; PAR-1 leads it.</t>
  </si>
  <si>
    <t>1. As PAR-1, open Voting, choose UAT Idea A, click Cast vote.
2. Choose a different idea and click Cast vote.</t>
  </si>
  <si>
    <t>1. Sebagai PAR-1, buka Voting, pilih UAT Idea A, klik Cast vote.
2. Pilih ide lain lalu klik Cast vote.</t>
  </si>
  <si>
    <t>Step 1 shows "You cannot vote for your own team's idea" and no vote is recorded. Step 2 succeeds.</t>
  </si>
  <si>
    <t>Langkah 1 menampilkan "You cannot vote for your own team's idea" dan suara tidak tercatat. Langkah 2 berhasil.</t>
  </si>
  <si>
    <t>E2E-12-06</t>
  </si>
  <si>
    <t>An idea entering final presentation joins the open vote</t>
  </si>
  <si>
    <t>ADM-1, VOT-2</t>
  </si>
  <si>
    <t>Voting open. Another idea has a published Build but no final presentation assessment.</t>
  </si>
  <si>
    <t>1. As VOT-2, open Voting and note the candidates.
2. As ADM-1, Save Draft a final presentation assessment for the other idea.
3. As VOT-2, reload Voting.</t>
  </si>
  <si>
    <t>1. Sebagai VOT-2, buka Voting dan catat kandidatnya.
2. Sebagai ADM-1, Save Draft penilaian presentasi final untuk ide lain.
3. Sebagai VOT-2, muat ulang Voting.</t>
  </si>
  <si>
    <t>The new idea appears on the ballot and can receive votes.</t>
  </si>
  <si>
    <t>Ide baru muncul di daftar voting dan bisa dipilih.</t>
  </si>
  <si>
    <t>E2E-12-07</t>
  </si>
  <si>
    <t>Live turnout is admin-only; results cannot be published while open</t>
  </si>
  <si>
    <t>Votes cast in E2E-12-04/05.</t>
  </si>
  <si>
    <t>1. As ADM-1, open Voting Management and click Refresh in Live turnout.
2. Check Publish Favorite Project.
3. As VOT-1, look for vote counts on Voting and open /voting/results.</t>
  </si>
  <si>
    <t>1. Sebagai ADM-1, buka Voting Management dan klik Refresh di Live turnout.
2. Periksa Publish Favorite Project.
3. Sebagai VOT-1, cari jumlah suara di Voting dan buka /voting/results.</t>
  </si>
  <si>
    <t>Admin sees "N total vote(s) cast so far." and per-idea counts. Publish Favorite Project is disabled with "Voting is still open — results can be published once it closes." VOT-1 sees no counts and /voting/results shows "Results haven't been published yet".</t>
  </si>
  <si>
    <t>Admin melihat jumlah suara. Publish Favorite Project nonaktif selama voting berjalan. VOT-1 tidak melihat jumlah suara dan /voting/results menampilkan "Results haven't been published yet".</t>
  </si>
  <si>
    <t>E2E-13-01</t>
  </si>
  <si>
    <t>J13 Voting results</t>
  </si>
  <si>
    <t>Publishing the Favorite Project result</t>
  </si>
  <si>
    <t>Closes at has passed (set it a minute ahead and wait).</t>
  </si>
  <si>
    <t>1. Open Voting Management and click Publish Favorite Project, type PUBLISH.
2. As VOT-1, open Notifications, then Voting › See results.
3. As ADM-1, try to edit the voting period.</t>
  </si>
  <si>
    <t>1. Buka Voting Management dan klik Publish Favorite Project, ketik PUBLISH.
2. Sebagai VOT-1, buka Notifications, lalu Voting › See results.
3. Sebagai ADM-1, coba ubah periode voting.</t>
  </si>
  <si>
    <t>"Favorite Project results published". Everyone who voted gets "Favorite Project results are published", linking to the results. Results show a ranked list with a trophy for the top idea and percentages (Show percentages on). The period form is locked.</t>
  </si>
  <si>
    <t>Muncul "Favorite Project results published". Semua pemilih menerima notifikasi dengan tautan ke hasil. Hasil menampilkan peringkat dengan trofi dan persentase. Formulir periode terkunci.</t>
  </si>
  <si>
    <t>E2E-13-02</t>
  </si>
  <si>
    <t>Voting results</t>
  </si>
  <si>
    <t>Results show vote counts when percentages are off</t>
  </si>
  <si>
    <t>A voting period with Show percentages on results turned off before results are published.</t>
  </si>
  <si>
    <t>1. Publish the result for that period.
2. As VOT-1, open /voting/results.</t>
  </si>
  <si>
    <t>1. Publikasikan hasil untuk periode tersebut.
2. Sebagai VOT-1, buka /voting/results.</t>
  </si>
  <si>
    <t>Each idea shows "N vote(s)" instead of a percentage and bar.</t>
  </si>
  <si>
    <t>Setiap ide menampilkan "N vote(s)" alih-alih persentase.</t>
  </si>
  <si>
    <t>E2E-14-01</t>
  </si>
  <si>
    <t>J14 Reports, audit, notifications &amp; UI</t>
  </si>
  <si>
    <t>Reports &amp; Audit</t>
  </si>
  <si>
    <t>Reports and CSV export</t>
  </si>
  <si>
    <t>Journeys J03–J13 executed.</t>
  </si>
  <si>
    <t>1. Open Reports &amp; Audit. Check the funnel, reviewer workload, voting turnout and winner charts.
2. Click Export submissions CSV and open the file.
3. As PAR-1, open /api/admin/exports/submissions.</t>
  </si>
  <si>
    <t>1. Buka Reports &amp; Audit. Periksa grafik funnel, beban reviewer, partisipasi voting, dan pemenang.
2. Klik Export submissions CSV dan buka filenya.
3. Sebagai PAR-1, buka /api/admin/exports/submissions.</t>
  </si>
  <si>
    <t>Charts match the UAT data. The CSV lists the submitted ideas. PAR-1 gets 403 (not allowed).</t>
  </si>
  <si>
    <t>Grafik sesuai data UAT. CSV berisi ide yang dikirim. PAR-1 mendapat 403.</t>
  </si>
  <si>
    <t>E2E-14-02</t>
  </si>
  <si>
    <t>Audit</t>
  </si>
  <si>
    <t>Audit history and filters</t>
  </si>
  <si>
    <t>Publishing actions done today.</t>
  </si>
  <si>
    <t>From = today, To = today</t>
  </si>
  <si>
    <t>1. Open Idea Management › UAT Idea A › Audit history.
2. Open /audit, filter Action = publish_batch, From and To = today.
3. Click View correlated events on an entry.</t>
  </si>
  <si>
    <t>1. Buka Idea Management › UAT Idea A › Audit history.
2. Buka /audit, filter Action = publish_batch, From dan To = hari ini.
3. Klik View correlated events pada salah satu entri.</t>
  </si>
  <si>
    <t>Entries show actor, before/after values and reasons. [Known gap] Filtering with To = today includes today's entries (current build may exclude them — log a defect).</t>
  </si>
  <si>
    <t>Entri menampilkan pelaku, nilai sebelum/sesudah, dan alasan. [Known gap] Filter To = hari ini seharusnya mencakup entri hari ini.</t>
  </si>
  <si>
    <t>E2E-14-03</t>
  </si>
  <si>
    <t>Notifications</t>
  </si>
  <si>
    <t>Notification filters and read state</t>
  </si>
  <si>
    <t>PAR-1 has unread notifications from earlier journeys.</t>
  </si>
  <si>
    <t>1. Open Notifications and use the All, System, Program and Your Ideas filters.
2. Click a notification with a link.
3. Click Mark all as read (N).</t>
  </si>
  <si>
    <t>1. Buka Notifications dan gunakan filter All, System, Program, dan Your Ideas.
2. Klik notifikasi yang memiliki tautan.
3. Klik Mark all as read (N).</t>
  </si>
  <si>
    <t>Filters show the right types (voting under Program; screening/build/mentor under Your Ideas). Clicking opens the linked page and marks it read. "All notifications marked as read".</t>
  </si>
  <si>
    <t>Filter menampilkan jenis yang sesuai. Klik membuka halaman terkait dan menandai sudah dibaca. Muncul "All notifications marked as read".</t>
  </si>
  <si>
    <t>E2E-14-04</t>
  </si>
  <si>
    <t>UI</t>
  </si>
  <si>
    <t>Theme, mobile navigation and error pages</t>
  </si>
  <si>
    <t>Any</t>
  </si>
  <si>
    <t>Desktop and phone (or browser at 375 px width).</t>
  </si>
  <si>
    <t>/does-not-exist</t>
  </si>
  <si>
    <t>1. Switch the theme to Light, Dark and System.
2. On a phone width, use the bottom bar and More.
3. Open /does-not-exist.</t>
  </si>
  <si>
    <t>1. Ganti tema ke Light, Dark, dan System.
2. Di lebar ponsel, gunakan bar bawah dan More.
3. Buka /does-not-exist.</t>
  </si>
  <si>
    <t>Both themes are readable. The bottom bar shows the role's main pages and More shows the rest. The 404 page shows "We could not find that page" with Go to your overview.</t>
  </si>
  <si>
    <t>Kedua tema terbaca jelas. Bar bawah menampilkan halaman utama dan More sisanya. Halaman 404 menampilkan "We could not find that page".</t>
  </si>
  <si>
    <t>Summary Dashboard</t>
  </si>
  <si>
    <t>Calculated from "Test Cases" and "Defect Log" — do not edit</t>
  </si>
  <si>
    <t>Total</t>
  </si>
  <si>
    <t>Pass</t>
  </si>
  <si>
    <t>Fail</t>
  </si>
  <si>
    <t>Blocked</t>
  </si>
  <si>
    <t>% executed</t>
  </si>
  <si>
    <t>% passed</t>
  </si>
  <si>
    <t>By priority</t>
  </si>
  <si>
    <t>Defects by severity (excluding the example row)</t>
  </si>
  <si>
    <t>Severity</t>
  </si>
  <si>
    <t>Logged</t>
  </si>
  <si>
    <t>Open (not Closed / Won't fix)</t>
  </si>
  <si>
    <t>Critical</t>
  </si>
  <si>
    <t>Exit criteria met?</t>
  </si>
  <si>
    <t>Rule: no open Critical or High defects, and every High-priority case executed.</t>
  </si>
  <si>
    <t>Defect Log</t>
  </si>
  <si>
    <t>One row per defect. Link it to the failing test case. Row 6 is an example — delete it before use.</t>
  </si>
  <si>
    <t>Linked test ID</t>
  </si>
  <si>
    <t>Title</t>
  </si>
  <si>
    <t>Steps to reproduce</t>
  </si>
  <si>
    <t>Expected</t>
  </si>
  <si>
    <t>Actual</t>
  </si>
  <si>
    <t>Environment / build</t>
  </si>
  <si>
    <t>Reported by</t>
  </si>
  <si>
    <t>Date reported</t>
  </si>
  <si>
    <t>Assigned to</t>
  </si>
  <si>
    <t>Resolution notes</t>
  </si>
  <si>
    <t>DEF-000</t>
  </si>
  <si>
    <t>EXAMPLE – Reopen review accepts a 1-character reason</t>
  </si>
  <si>
    <t>1. Idea Management › idea › Reopen review
2. Type "x"
3. Click Reopen</t>
  </si>
  <si>
    <t>Reason under 10 characters is refused</t>
  </si>
  <si>
    <t>Review reopened with reason "x"</t>
  </si>
  <si>
    <t>UAT · commit 4c2e909</t>
  </si>
  <si>
    <t>QA tester</t>
  </si>
  <si>
    <t>Dev team</t>
  </si>
  <si>
    <t>Closed</t>
  </si>
  <si>
    <t>Example row only — delete before use.</t>
  </si>
  <si>
    <t>Test Accounts &amp; Data</t>
  </si>
  <si>
    <t>Fill in real UAT accounts. Never store passwords in this workbook — share them through a password manager.</t>
  </si>
  <si>
    <t>Code</t>
  </si>
  <si>
    <t>Role in app</t>
  </si>
  <si>
    <t>Suggested account (local demo)</t>
  </si>
  <si>
    <t>UAT account email</t>
  </si>
  <si>
    <t>Ready?</t>
  </si>
  <si>
    <t>Admin</t>
  </si>
  <si>
    <t>Runs all admin journeys and publishing.</t>
  </si>
  <si>
    <t>demo.admin1@godrejcp.com</t>
  </si>
  <si>
    <t>ADM-2</t>
  </si>
  <si>
    <t>Second admin for E2E-01-06 (admin cannot manage admins).</t>
  </si>
  <si>
    <t>demo.admin2@godrejcp.com</t>
  </si>
  <si>
    <t>DEV-1</t>
  </si>
  <si>
    <t>Developer</t>
  </si>
  <si>
    <t>Optional: developer-only actions (delete ideas, manage admins).</t>
  </si>
  <si>
    <t>A developer account</t>
  </si>
  <si>
    <t>Mentor (capacity 10)</t>
  </si>
  <si>
    <t>Priority-1 mentor for UAT Idea A; reviewer.</t>
  </si>
  <si>
    <t>demo.mentor1@godrejcp.com</t>
  </si>
  <si>
    <t>MEN-B</t>
  </si>
  <si>
    <t>Priority-2 mentor; project mentor; changed reviewer.</t>
  </si>
  <si>
    <t>demo.mentor2@godrejcp.com</t>
  </si>
  <si>
    <t>MEN-LOW</t>
  </si>
  <si>
    <t>Mentor (capacity 2)</t>
  </si>
  <si>
    <t>Full mentor for routing cases (needs 2 pending reviews).</t>
  </si>
  <si>
    <t>demo.mentor3@godrejcp.com</t>
  </si>
  <si>
    <t>User (participant)</t>
  </si>
  <si>
    <t>Leader of UAT Idea A.</t>
  </si>
  <si>
    <t>demo.participant1@godrejcp.com</t>
  </si>
  <si>
    <t>Member of UAT Idea A; leader of UAT Idea B; commit-panel case.</t>
  </si>
  <si>
    <t>demo.participant2@godrejcp.com</t>
  </si>
  <si>
    <t>Leader of UAT Idea C; rate-limit and replacement-leader cases.</t>
  </si>
  <si>
    <t>demo.participant3@godrejcp.com</t>
  </si>
  <si>
    <t>Voter only</t>
  </si>
  <si>
    <t>Voting and access-control cases.</t>
  </si>
  <si>
    <t>demo.voter1@godrejcp.com</t>
  </si>
  <si>
    <t>VOT-2</t>
  </si>
  <si>
    <t>Late-entry voting case.</t>
  </si>
  <si>
    <t>demo.voter2@godrejcp.com</t>
  </si>
  <si>
    <t>Each account must be active, have changed its first password, and (for mentors) have a mentor profile.</t>
  </si>
  <si>
    <t>Data to prepare</t>
  </si>
  <si>
    <t>#</t>
  </si>
  <si>
    <t>Item</t>
  </si>
  <si>
    <t>Details</t>
  </si>
  <si>
    <t>Used in</t>
  </si>
  <si>
    <t>Location / notes</t>
  </si>
  <si>
    <t>Dedicated UAT program</t>
  </si>
  <si>
    <t>Create a program called e.g. "UAT 2026" and make it the active program. Every Publish button publishes all ready ideas in the active program.</t>
  </si>
  <si>
    <t>All</t>
  </si>
  <si>
    <t>Mentor capacity</t>
  </si>
  <si>
    <t>Set MEN-LOW capacity to 2 in Mentor Directory and give it 2 pending reviews before J04.</t>
  </si>
  <si>
    <t>E2E-04-01, 04-02</t>
  </si>
  <si>
    <t>Presentation files</t>
  </si>
  <si>
    <t>deck.pptx under 25 MB; big.pdf of 26 MB; notes.docx.</t>
  </si>
  <si>
    <t>Showcase images</t>
  </si>
  <si>
    <t>photo.png under 5 MB; big.jpg of 6 MB; anim.gif.</t>
  </si>
  <si>
    <t>Program resources</t>
  </si>
  <si>
    <t>PDF 2 MB; PDF 11 MB; tool.exe (any renamed file).</t>
  </si>
  <si>
    <t>Second approved idea for PAR-2</t>
  </si>
  <si>
    <t>An idea led by PAR-2 that passes screening (UAT Idea B with decision Pass, or a separate idea).</t>
  </si>
  <si>
    <t>Second final-presentation idea</t>
  </si>
  <si>
    <t>Another idea with a published Build, for the winner-category and late-entry cases.</t>
  </si>
  <si>
    <t>E2E-10-03, 12-06</t>
  </si>
  <si>
    <t>Clock control</t>
  </si>
  <si>
    <t>For results, set Closes at a few minutes ahead and wait, or ask IT to adjust it in the database.</t>
  </si>
  <si>
    <t>UAT Sign-off</t>
  </si>
  <si>
    <t>Approval to move AIdea to production</t>
  </si>
  <si>
    <t>Approver role</t>
  </si>
  <si>
    <t>Name</t>
  </si>
  <si>
    <t>Department</t>
  </si>
  <si>
    <t>Decision</t>
  </si>
  <si>
    <t>Conditions / comments</t>
  </si>
  <si>
    <t>Signature</t>
  </si>
  <si>
    <t>Business owner (GCPL)</t>
  </si>
  <si>
    <t>IT lead</t>
  </si>
  <si>
    <t>QA lead</t>
  </si>
  <si>
    <t>Program admin representative</t>
  </si>
  <si>
    <t>Exit criteria</t>
  </si>
  <si>
    <t>• No open Critical or High defects (see Summary Dashboard).</t>
  </si>
  <si>
    <t>• 100% of High-priority cases executed.</t>
  </si>
  <si>
    <t>• Known gaps either fixed or accepted in writing in "Conditions / comments".</t>
  </si>
  <si>
    <t>Exit criteria met (from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</si>
</sst>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0" x14ac:knownFonts="1">
    <font>
      <sz val="11"/>
      <color theme="1"/>
      <name val="Calibri"/>
      <family val="2"/>
      <scheme val="minor"/>
    </font>
    <font>
      <b/>
      <sz val="9"/>
      <color rgb="FF5C5C5C"/>
      <name val="Arial"/>
    </font>
    <font>
      <b/>
      <sz val="16"/>
      <color rgb="FF141414"/>
      <name val="Arial"/>
    </font>
    <font>
      <sz val="10"/>
      <color rgb="FF5C5C5C"/>
      <name val="Arial"/>
    </font>
    <font>
      <b/>
      <sz val="10"/>
      <color rgb="FF141414"/>
      <name val="Arial"/>
    </font>
    <font>
      <sz val="10"/>
      <color rgb="FF141414"/>
      <name val="Arial"/>
    </font>
    <font>
      <b/>
      <sz val="10"/>
      <color rgb="FFFFFFFF"/>
      <name val="Arial"/>
    </font>
    <font>
      <b/>
      <sz val="12"/>
      <color rgb="FF141414"/>
      <name val="Arial"/>
    </font>
    <font>
      <sz val="9"/>
      <color rgb="FF5C5C5C"/>
      <name val="Arial"/>
    </font>
    <font>
      <i/>
      <sz val="10"/>
      <color rgb="FF5C5C5C"/>
      <name val="Arial"/>
    </font>
  </fonts>
  <fills count="5">
    <fill>
      <patternFill patternType="none"/>
    </fill>
    <fill>
      <patternFill patternType="gray125"/>
    </fill>
    <fill>
      <patternFill patternType="solid">
        <fgColor rgb="FFFFF9DB"/>
      </patternFill>
    </fill>
    <fill>
      <patternFill patternType="solid">
        <fgColor rgb="FF141414"/>
      </patternFill>
    </fill>
    <fill>
      <patternFill patternType="solid">
        <fgColor rgb="FFF5F5F5"/>
      </patternFill>
    </fill>
  </fills>
  <borders count="2">
    <border>
      <left/>
      <right/>
      <top/>
      <bottom/>
      <diagonal/>
    </border>
    <border>
      <left style="thin">
        <color rgb="FFE0E0E0"/>
      </left>
      <right style="thin">
        <color rgb="FFE0E0E0"/>
      </right>
      <top style="thin">
        <color rgb="FFE0E0E0"/>
      </top>
      <bottom style="thin">
        <color rgb="FFE0E0E0"/>
      </bottom>
      <diagonal/>
    </border>
  </borders>
  <cellStyleXfs count="1">
    <xf numFmtId="0" fontId="0" fillId="0" borderId="0"/>
  </cellStyleXfs>
  <cellXfs count="21">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applyAlignment="1">
      <alignment horizontal="left" vertical="top" wrapText="1"/>
    </xf>
    <xf numFmtId="0" fontId="5" fillId="2" borderId="1" xfId="0" applyFont="1" applyFill="1" applyBorder="1" applyAlignment="1">
      <alignment horizontal="left" vertical="top" wrapText="1"/>
    </xf>
    <xf numFmtId="0" fontId="6" fillId="3" borderId="1" xfId="0" applyFont="1" applyFill="1" applyBorder="1" applyAlignment="1">
      <alignment horizontal="left" vertical="center" wrapText="1"/>
    </xf>
    <xf numFmtId="0" fontId="4" fillId="0" borderId="1" xfId="0" applyFont="1" applyBorder="1" applyAlignment="1">
      <alignment horizontal="left" vertical="top" wrapText="1"/>
    </xf>
    <xf numFmtId="0" fontId="5" fillId="0" borderId="1" xfId="0" applyFont="1" applyBorder="1" applyAlignment="1">
      <alignment horizontal="left" vertical="top" wrapText="1"/>
    </xf>
    <xf numFmtId="164" fontId="5" fillId="2" borderId="1" xfId="0" applyNumberFormat="1" applyFont="1" applyFill="1" applyBorder="1" applyAlignment="1">
      <alignment horizontal="left" vertical="top" wrapText="1"/>
    </xf>
    <xf numFmtId="0" fontId="5" fillId="0" borderId="1" xfId="0" applyFont="1" applyBorder="1" applyAlignment="1">
      <alignment horizontal="left" vertical="top"/>
    </xf>
    <xf numFmtId="9" fontId="5" fillId="0" borderId="1" xfId="0" applyNumberFormat="1" applyFont="1" applyBorder="1" applyAlignment="1">
      <alignment horizontal="left" vertical="top"/>
    </xf>
    <xf numFmtId="0" fontId="4" fillId="4" borderId="1" xfId="0" applyFont="1" applyFill="1" applyBorder="1" applyAlignment="1">
      <alignment horizontal="left" vertical="top"/>
    </xf>
    <xf numFmtId="9" fontId="4" fillId="4" borderId="1" xfId="0" applyNumberFormat="1" applyFont="1" applyFill="1" applyBorder="1" applyAlignment="1">
      <alignment horizontal="left" vertical="top"/>
    </xf>
    <xf numFmtId="0" fontId="7" fillId="0" borderId="0" xfId="0" applyFont="1"/>
    <xf numFmtId="0" fontId="8" fillId="0" borderId="0" xfId="0" applyFont="1"/>
    <xf numFmtId="0" fontId="9" fillId="0" borderId="1" xfId="0" applyFont="1" applyBorder="1" applyAlignment="1">
      <alignment horizontal="left" vertical="top" wrapText="1"/>
    </xf>
    <xf numFmtId="164" fontId="9" fillId="0" borderId="1" xfId="0" applyNumberFormat="1" applyFont="1" applyBorder="1" applyAlignment="1">
      <alignment horizontal="left" vertical="top" wrapText="1"/>
    </xf>
    <xf numFmtId="164" fontId="5" fillId="0" borderId="1" xfId="0" applyNumberFormat="1" applyFont="1" applyBorder="1" applyAlignment="1">
      <alignment horizontal="left" vertical="top" wrapText="1"/>
    </xf>
    <xf numFmtId="0" fontId="5" fillId="0" borderId="0" xfId="0" applyFont="1"/>
  </cellXfs>
  <cellStyles count="1">
    <cellStyle name="Normal" xfId="0" builtinId="0"/>
  </cellStyles>
  <dxfs count="3">
    <dxf>
      <font>
        <b/>
        <color rgb="FF8A5A00"/>
        <name val="Arial"/>
      </font>
      <fill>
        <patternFill patternType="solid">
          <fgColor rgb="FFFBF1DE"/>
        </patternFill>
      </fill>
    </dxf>
    <dxf>
      <font>
        <b/>
        <color rgb="FFB42318"/>
        <name val="Arial"/>
      </font>
      <fill>
        <patternFill patternType="solid">
          <fgColor rgb="FFFDECEA"/>
        </patternFill>
      </fill>
    </dxf>
    <dxf>
      <font>
        <b/>
        <color rgb="FF1B6B3A"/>
        <name val="Arial"/>
      </font>
      <fill>
        <patternFill patternType="solid">
          <fgColor rgb="FFE8F3E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estCases" displayName="TestCases" ref="A5:S51">
  <autoFilter ref="A5:S51" xr:uid="{00000000-0009-0000-0100-000001000000}"/>
  <tableColumns count="19">
    <tableColumn id="1" xr3:uid="{00000000-0010-0000-0000-000001000000}" name="ID"/>
    <tableColumn id="2" xr3:uid="{00000000-0010-0000-0000-000002000000}" name="Journey"/>
    <tableColumn id="3" xr3:uid="{00000000-0010-0000-0000-000003000000}" name="Module"/>
    <tableColumn id="4" xr3:uid="{00000000-0010-0000-0000-000004000000}" name="Scenario"/>
    <tableColumn id="5" xr3:uid="{00000000-0010-0000-0000-000005000000}" name="Type"/>
    <tableColumn id="6" xr3:uid="{00000000-0010-0000-0000-000006000000}" name="Priority"/>
    <tableColumn id="7" xr3:uid="{00000000-0010-0000-0000-000007000000}" name="Tester role"/>
    <tableColumn id="8" xr3:uid="{00000000-0010-0000-0000-000008000000}" name="Preconditions"/>
    <tableColumn id="9" xr3:uid="{00000000-0010-0000-0000-000009000000}" name="Test data"/>
    <tableColumn id="10" xr3:uid="{00000000-0010-0000-0000-00000A000000}" name="Steps (EN)"/>
    <tableColumn id="11" xr3:uid="{00000000-0010-0000-0000-00000B000000}" name="Steps (ID)"/>
    <tableColumn id="12" xr3:uid="{00000000-0010-0000-0000-00000C000000}" name="Expected result (EN)"/>
    <tableColumn id="13" xr3:uid="{00000000-0010-0000-0000-00000D000000}" name="Expected result (ID)"/>
    <tableColumn id="14" xr3:uid="{00000000-0010-0000-0000-00000E000000}" name="Actual result"/>
    <tableColumn id="15" xr3:uid="{00000000-0010-0000-0000-00000F000000}" name="Status"/>
    <tableColumn id="16" xr3:uid="{00000000-0010-0000-0000-000010000000}" name="Defect ID"/>
    <tableColumn id="17" xr3:uid="{00000000-0010-0000-0000-000011000000}" name="Tester"/>
    <tableColumn id="18" xr3:uid="{00000000-0010-0000-0000-000012000000}" name="Date"/>
    <tableColumn id="19" xr3:uid="{00000000-0010-0000-0000-000013000000}" name="Evidence / notes"/>
  </tableColumns>
  <tableStyleInfo name="TableStyleLight1"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DefectLog" displayName="DefectLog" ref="A5:M55">
  <autoFilter ref="A5:M55" xr:uid="{00000000-0009-0000-0100-000002000000}"/>
  <tableColumns count="13">
    <tableColumn id="1" xr3:uid="{00000000-0010-0000-0100-000001000000}" name="Defect ID"/>
    <tableColumn id="2" xr3:uid="{00000000-0010-0000-0100-000002000000}" name="Linked test ID"/>
    <tableColumn id="3" xr3:uid="{00000000-0010-0000-0100-000003000000}" name="Title"/>
    <tableColumn id="4" xr3:uid="{00000000-0010-0000-0100-000004000000}" name="Severity"/>
    <tableColumn id="5" xr3:uid="{00000000-0010-0000-0100-000005000000}" name="Steps to reproduce"/>
    <tableColumn id="6" xr3:uid="{00000000-0010-0000-0100-000006000000}" name="Expected"/>
    <tableColumn id="7" xr3:uid="{00000000-0010-0000-0100-000007000000}" name="Actual"/>
    <tableColumn id="8" xr3:uid="{00000000-0010-0000-0100-000008000000}" name="Environment / build"/>
    <tableColumn id="9" xr3:uid="{00000000-0010-0000-0100-000009000000}" name="Reported by"/>
    <tableColumn id="10" xr3:uid="{00000000-0010-0000-0100-00000A000000}" name="Date reported"/>
    <tableColumn id="11" xr3:uid="{00000000-0010-0000-0100-00000B000000}" name="Assigned to"/>
    <tableColumn id="12" xr3:uid="{00000000-0010-0000-0100-00000C000000}" name="Status"/>
    <tableColumn id="13" xr3:uid="{00000000-0010-0000-0100-00000D000000}" name="Resolution notes"/>
  </tableColumns>
  <tableStyleInfo name="TableStyleLight1"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41414"/>
    <pageSetUpPr fitToPage="1"/>
  </sheetPr>
  <dimension ref="A1:B19"/>
  <sheetViews>
    <sheetView showGridLines="0" tabSelected="1" workbookViewId="0"/>
  </sheetViews>
  <sheetFormatPr defaultRowHeight="14.5" x14ac:dyDescent="0.35"/>
  <cols>
    <col min="1" max="1" width="28" customWidth="1"/>
    <col min="2" max="2" width="90" customWidth="1"/>
  </cols>
  <sheetData>
    <row r="1" spans="1:2" x14ac:dyDescent="0.35">
      <c r="A1" s="1" t="s">
        <v>0</v>
      </c>
    </row>
    <row r="2" spans="1:2" ht="20" x14ac:dyDescent="0.4">
      <c r="A2" s="2" t="s">
        <v>1</v>
      </c>
    </row>
    <row r="3" spans="1:2" x14ac:dyDescent="0.35">
      <c r="A3" s="3" t="s">
        <v>2</v>
      </c>
    </row>
    <row r="5" spans="1:2" ht="25" x14ac:dyDescent="0.35">
      <c r="A5" s="4" t="s">
        <v>3</v>
      </c>
      <c r="B5" s="5" t="s">
        <v>4</v>
      </c>
    </row>
    <row r="6" spans="1:2" ht="37.5" x14ac:dyDescent="0.35">
      <c r="A6" s="4" t="s">
        <v>5</v>
      </c>
      <c r="B6" s="5" t="s">
        <v>6</v>
      </c>
    </row>
    <row r="7" spans="1:2" ht="25" x14ac:dyDescent="0.35">
      <c r="A7" s="4" t="s">
        <v>7</v>
      </c>
      <c r="B7" s="5" t="s">
        <v>8</v>
      </c>
    </row>
    <row r="8" spans="1:2" x14ac:dyDescent="0.35">
      <c r="A8" s="4"/>
      <c r="B8" s="5"/>
    </row>
    <row r="9" spans="1:2" x14ac:dyDescent="0.35">
      <c r="A9" s="4" t="s">
        <v>9</v>
      </c>
      <c r="B9" s="6"/>
    </row>
    <row r="10" spans="1:2" x14ac:dyDescent="0.35">
      <c r="A10" s="4" t="s">
        <v>10</v>
      </c>
      <c r="B10" s="6"/>
    </row>
    <row r="11" spans="1:2" x14ac:dyDescent="0.35">
      <c r="A11" s="4" t="s">
        <v>11</v>
      </c>
      <c r="B11" s="6"/>
    </row>
    <row r="12" spans="1:2" x14ac:dyDescent="0.35">
      <c r="A12" s="4" t="s">
        <v>12</v>
      </c>
      <c r="B12" s="6"/>
    </row>
    <row r="13" spans="1:2" x14ac:dyDescent="0.35">
      <c r="A13" s="4" t="s">
        <v>13</v>
      </c>
      <c r="B13" s="6"/>
    </row>
    <row r="14" spans="1:2" x14ac:dyDescent="0.35">
      <c r="A14" s="4"/>
      <c r="B14" s="5"/>
    </row>
    <row r="15" spans="1:2" ht="75" x14ac:dyDescent="0.35">
      <c r="A15" s="4" t="s">
        <v>14</v>
      </c>
      <c r="B15" s="5" t="s">
        <v>15</v>
      </c>
    </row>
    <row r="16" spans="1:2" x14ac:dyDescent="0.35">
      <c r="A16" s="4" t="s">
        <v>16</v>
      </c>
      <c r="B16" s="5" t="s">
        <v>17</v>
      </c>
    </row>
    <row r="17" spans="1:2" ht="25" x14ac:dyDescent="0.35">
      <c r="A17" s="4" t="s">
        <v>18</v>
      </c>
      <c r="B17" s="5" t="s">
        <v>19</v>
      </c>
    </row>
    <row r="18" spans="1:2" ht="37.5" x14ac:dyDescent="0.35">
      <c r="A18" s="4" t="s">
        <v>20</v>
      </c>
      <c r="B18" s="5" t="s">
        <v>21</v>
      </c>
    </row>
    <row r="19" spans="1:2" x14ac:dyDescent="0.35">
      <c r="A19" s="4" t="s">
        <v>22</v>
      </c>
      <c r="B19" s="5" t="s">
        <v>23</v>
      </c>
    </row>
  </sheetData>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41414"/>
    <pageSetUpPr fitToPage="1"/>
  </sheetPr>
  <dimension ref="A1:S51"/>
  <sheetViews>
    <sheetView showGridLines="0" workbookViewId="0">
      <pane xSplit="4" ySplit="5" topLeftCell="E6" activePane="bottomRight" state="frozen"/>
      <selection pane="topRight"/>
      <selection pane="bottomLeft"/>
      <selection pane="bottomRight"/>
    </sheetView>
  </sheetViews>
  <sheetFormatPr defaultRowHeight="14.5" x14ac:dyDescent="0.35"/>
  <cols>
    <col min="1" max="1" width="11" customWidth="1"/>
    <col min="2" max="2" width="20" customWidth="1"/>
    <col min="3" max="3" width="16" customWidth="1"/>
    <col min="4" max="4" width="32" customWidth="1"/>
    <col min="5" max="5" width="10" customWidth="1"/>
    <col min="6" max="6" width="9" customWidth="1"/>
    <col min="7" max="7" width="16" customWidth="1"/>
    <col min="8" max="8" width="28" customWidth="1"/>
    <col min="9" max="9" width="26" customWidth="1"/>
    <col min="10" max="13" width="48" customWidth="1"/>
    <col min="14" max="14" width="30" customWidth="1"/>
    <col min="15" max="16" width="11" customWidth="1"/>
    <col min="17" max="17" width="14" customWidth="1"/>
    <col min="18" max="18" width="12" customWidth="1"/>
    <col min="19" max="19" width="26" customWidth="1"/>
  </cols>
  <sheetData>
    <row r="1" spans="1:19" x14ac:dyDescent="0.35">
      <c r="A1" s="1" t="s">
        <v>0</v>
      </c>
    </row>
    <row r="2" spans="1:19" ht="20" x14ac:dyDescent="0.4">
      <c r="A2" s="2" t="s">
        <v>24</v>
      </c>
    </row>
    <row r="3" spans="1:19" x14ac:dyDescent="0.35">
      <c r="A3" s="3" t="s">
        <v>25</v>
      </c>
    </row>
    <row r="5" spans="1:19" ht="30" customHeight="1" x14ac:dyDescent="0.35">
      <c r="A5" s="7" t="s">
        <v>26</v>
      </c>
      <c r="B5" s="7" t="s">
        <v>27</v>
      </c>
      <c r="C5" s="7" t="s">
        <v>28</v>
      </c>
      <c r="D5" s="7" t="s">
        <v>29</v>
      </c>
      <c r="E5" s="7" t="s">
        <v>30</v>
      </c>
      <c r="F5" s="7" t="s">
        <v>31</v>
      </c>
      <c r="G5" s="7" t="s">
        <v>32</v>
      </c>
      <c r="H5" s="7" t="s">
        <v>33</v>
      </c>
      <c r="I5" s="7" t="s">
        <v>34</v>
      </c>
      <c r="J5" s="7" t="s">
        <v>35</v>
      </c>
      <c r="K5" s="7" t="s">
        <v>36</v>
      </c>
      <c r="L5" s="7" t="s">
        <v>37</v>
      </c>
      <c r="M5" s="7" t="s">
        <v>38</v>
      </c>
      <c r="N5" s="7" t="s">
        <v>39</v>
      </c>
      <c r="O5" s="7" t="s">
        <v>40</v>
      </c>
      <c r="P5" s="7" t="s">
        <v>41</v>
      </c>
      <c r="Q5" s="7" t="s">
        <v>42</v>
      </c>
      <c r="R5" s="7" t="s">
        <v>43</v>
      </c>
      <c r="S5" s="7" t="s">
        <v>44</v>
      </c>
    </row>
    <row r="6" spans="1:19" ht="75" x14ac:dyDescent="0.35">
      <c r="A6" s="8" t="s">
        <v>45</v>
      </c>
      <c r="B6" s="9" t="s">
        <v>46</v>
      </c>
      <c r="C6" s="9" t="s">
        <v>47</v>
      </c>
      <c r="D6" s="9" t="s">
        <v>48</v>
      </c>
      <c r="E6" s="9" t="s">
        <v>49</v>
      </c>
      <c r="F6" s="9" t="s">
        <v>50</v>
      </c>
      <c r="G6" s="9" t="s">
        <v>51</v>
      </c>
      <c r="H6" s="9" t="s">
        <v>52</v>
      </c>
      <c r="I6" s="9" t="s">
        <v>53</v>
      </c>
      <c r="J6" s="9" t="s">
        <v>54</v>
      </c>
      <c r="K6" s="9" t="s">
        <v>55</v>
      </c>
      <c r="L6" s="9" t="s">
        <v>56</v>
      </c>
      <c r="M6" s="9" t="s">
        <v>57</v>
      </c>
      <c r="N6" s="6"/>
      <c r="O6" s="6" t="s">
        <v>58</v>
      </c>
      <c r="P6" s="6"/>
      <c r="Q6" s="6"/>
      <c r="R6" s="10"/>
      <c r="S6" s="6"/>
    </row>
    <row r="7" spans="1:19" ht="87.5" x14ac:dyDescent="0.35">
      <c r="A7" s="8" t="s">
        <v>59</v>
      </c>
      <c r="B7" s="9" t="s">
        <v>46</v>
      </c>
      <c r="C7" s="9" t="s">
        <v>60</v>
      </c>
      <c r="D7" s="9" t="s">
        <v>61</v>
      </c>
      <c r="E7" s="9" t="s">
        <v>49</v>
      </c>
      <c r="F7" s="9" t="s">
        <v>50</v>
      </c>
      <c r="G7" s="9" t="s">
        <v>62</v>
      </c>
      <c r="H7" s="9" t="s">
        <v>63</v>
      </c>
      <c r="I7" s="9" t="s">
        <v>64</v>
      </c>
      <c r="J7" s="9" t="s">
        <v>65</v>
      </c>
      <c r="K7" s="9" t="s">
        <v>66</v>
      </c>
      <c r="L7" s="9" t="s">
        <v>67</v>
      </c>
      <c r="M7" s="9" t="s">
        <v>68</v>
      </c>
      <c r="N7" s="6"/>
      <c r="O7" s="6" t="s">
        <v>58</v>
      </c>
      <c r="P7" s="6"/>
      <c r="Q7" s="6"/>
      <c r="R7" s="10"/>
      <c r="S7" s="6"/>
    </row>
    <row r="8" spans="1:19" ht="62.5" x14ac:dyDescent="0.35">
      <c r="A8" s="8" t="s">
        <v>69</v>
      </c>
      <c r="B8" s="9" t="s">
        <v>46</v>
      </c>
      <c r="C8" s="9" t="s">
        <v>60</v>
      </c>
      <c r="D8" s="9" t="s">
        <v>70</v>
      </c>
      <c r="E8" s="9" t="s">
        <v>71</v>
      </c>
      <c r="F8" s="9" t="s">
        <v>72</v>
      </c>
      <c r="G8" s="9" t="s">
        <v>73</v>
      </c>
      <c r="H8" s="9" t="s">
        <v>74</v>
      </c>
      <c r="I8" s="9" t="s">
        <v>75</v>
      </c>
      <c r="J8" s="9" t="s">
        <v>76</v>
      </c>
      <c r="K8" s="9" t="s">
        <v>77</v>
      </c>
      <c r="L8" s="9" t="s">
        <v>78</v>
      </c>
      <c r="M8" s="9" t="s">
        <v>79</v>
      </c>
      <c r="N8" s="6"/>
      <c r="O8" s="6" t="s">
        <v>58</v>
      </c>
      <c r="P8" s="6"/>
      <c r="Q8" s="6"/>
      <c r="R8" s="10"/>
      <c r="S8" s="6"/>
    </row>
    <row r="9" spans="1:19" ht="87.5" x14ac:dyDescent="0.35">
      <c r="A9" s="8" t="s">
        <v>80</v>
      </c>
      <c r="B9" s="9" t="s">
        <v>46</v>
      </c>
      <c r="C9" s="9" t="s">
        <v>47</v>
      </c>
      <c r="D9" s="9" t="s">
        <v>81</v>
      </c>
      <c r="E9" s="9" t="s">
        <v>71</v>
      </c>
      <c r="F9" s="9" t="s">
        <v>50</v>
      </c>
      <c r="G9" s="9" t="s">
        <v>82</v>
      </c>
      <c r="H9" s="9" t="s">
        <v>83</v>
      </c>
      <c r="I9" s="9" t="s">
        <v>84</v>
      </c>
      <c r="J9" s="9" t="s">
        <v>85</v>
      </c>
      <c r="K9" s="9" t="s">
        <v>86</v>
      </c>
      <c r="L9" s="9" t="s">
        <v>87</v>
      </c>
      <c r="M9" s="9" t="s">
        <v>88</v>
      </c>
      <c r="N9" s="6"/>
      <c r="O9" s="6" t="s">
        <v>58</v>
      </c>
      <c r="P9" s="6"/>
      <c r="Q9" s="6"/>
      <c r="R9" s="10"/>
      <c r="S9" s="6"/>
    </row>
    <row r="10" spans="1:19" ht="62.5" x14ac:dyDescent="0.35">
      <c r="A10" s="8" t="s">
        <v>89</v>
      </c>
      <c r="B10" s="9" t="s">
        <v>46</v>
      </c>
      <c r="C10" s="9" t="s">
        <v>90</v>
      </c>
      <c r="D10" s="9" t="s">
        <v>91</v>
      </c>
      <c r="E10" s="9" t="s">
        <v>71</v>
      </c>
      <c r="F10" s="9" t="s">
        <v>50</v>
      </c>
      <c r="G10" s="9" t="s">
        <v>92</v>
      </c>
      <c r="H10" s="9" t="s">
        <v>93</v>
      </c>
      <c r="I10" s="9" t="s">
        <v>94</v>
      </c>
      <c r="J10" s="9" t="s">
        <v>95</v>
      </c>
      <c r="K10" s="9" t="s">
        <v>96</v>
      </c>
      <c r="L10" s="9" t="s">
        <v>97</v>
      </c>
      <c r="M10" s="9" t="s">
        <v>98</v>
      </c>
      <c r="N10" s="6"/>
      <c r="O10" s="6" t="s">
        <v>58</v>
      </c>
      <c r="P10" s="6"/>
      <c r="Q10" s="6"/>
      <c r="R10" s="10"/>
      <c r="S10" s="6"/>
    </row>
    <row r="11" spans="1:19" ht="62.5" x14ac:dyDescent="0.35">
      <c r="A11" s="8" t="s">
        <v>99</v>
      </c>
      <c r="B11" s="9" t="s">
        <v>46</v>
      </c>
      <c r="C11" s="9" t="s">
        <v>47</v>
      </c>
      <c r="D11" s="9" t="s">
        <v>100</v>
      </c>
      <c r="E11" s="9" t="s">
        <v>71</v>
      </c>
      <c r="F11" s="9" t="s">
        <v>72</v>
      </c>
      <c r="G11" s="9" t="s">
        <v>51</v>
      </c>
      <c r="H11" s="9" t="s">
        <v>101</v>
      </c>
      <c r="I11" s="9" t="s">
        <v>102</v>
      </c>
      <c r="J11" s="9" t="s">
        <v>103</v>
      </c>
      <c r="K11" s="9" t="s">
        <v>104</v>
      </c>
      <c r="L11" s="9" t="s">
        <v>105</v>
      </c>
      <c r="M11" s="9" t="s">
        <v>106</v>
      </c>
      <c r="N11" s="6"/>
      <c r="O11" s="6" t="s">
        <v>58</v>
      </c>
      <c r="P11" s="6"/>
      <c r="Q11" s="6"/>
      <c r="R11" s="10"/>
      <c r="S11" s="6"/>
    </row>
    <row r="12" spans="1:19" ht="62.5" x14ac:dyDescent="0.35">
      <c r="A12" s="8" t="s">
        <v>107</v>
      </c>
      <c r="B12" s="9" t="s">
        <v>108</v>
      </c>
      <c r="C12" s="9" t="s">
        <v>109</v>
      </c>
      <c r="D12" s="9" t="s">
        <v>110</v>
      </c>
      <c r="E12" s="9" t="s">
        <v>49</v>
      </c>
      <c r="F12" s="9" t="s">
        <v>50</v>
      </c>
      <c r="G12" s="9" t="s">
        <v>51</v>
      </c>
      <c r="H12" s="9" t="s">
        <v>111</v>
      </c>
      <c r="I12" s="9" t="s">
        <v>112</v>
      </c>
      <c r="J12" s="9" t="s">
        <v>113</v>
      </c>
      <c r="K12" s="9" t="s">
        <v>114</v>
      </c>
      <c r="L12" s="9" t="s">
        <v>115</v>
      </c>
      <c r="M12" s="9" t="s">
        <v>116</v>
      </c>
      <c r="N12" s="6"/>
      <c r="O12" s="6" t="s">
        <v>58</v>
      </c>
      <c r="P12" s="6"/>
      <c r="Q12" s="6"/>
      <c r="R12" s="10"/>
      <c r="S12" s="6"/>
    </row>
    <row r="13" spans="1:19" ht="50" x14ac:dyDescent="0.35">
      <c r="A13" s="8" t="s">
        <v>117</v>
      </c>
      <c r="B13" s="9" t="s">
        <v>108</v>
      </c>
      <c r="C13" s="9" t="s">
        <v>109</v>
      </c>
      <c r="D13" s="9" t="s">
        <v>118</v>
      </c>
      <c r="E13" s="9" t="s">
        <v>71</v>
      </c>
      <c r="F13" s="9" t="s">
        <v>119</v>
      </c>
      <c r="G13" s="9" t="s">
        <v>51</v>
      </c>
      <c r="H13" s="9" t="s">
        <v>120</v>
      </c>
      <c r="I13" s="9" t="s">
        <v>121</v>
      </c>
      <c r="J13" s="9" t="s">
        <v>122</v>
      </c>
      <c r="K13" s="9" t="s">
        <v>123</v>
      </c>
      <c r="L13" s="9" t="s">
        <v>124</v>
      </c>
      <c r="M13" s="9" t="s">
        <v>125</v>
      </c>
      <c r="N13" s="6"/>
      <c r="O13" s="6" t="s">
        <v>58</v>
      </c>
      <c r="P13" s="6"/>
      <c r="Q13" s="6"/>
      <c r="R13" s="10"/>
      <c r="S13" s="6"/>
    </row>
    <row r="14" spans="1:19" ht="50" x14ac:dyDescent="0.35">
      <c r="A14" s="8" t="s">
        <v>126</v>
      </c>
      <c r="B14" s="9" t="s">
        <v>108</v>
      </c>
      <c r="C14" s="9" t="s">
        <v>109</v>
      </c>
      <c r="D14" s="9" t="s">
        <v>127</v>
      </c>
      <c r="E14" s="9" t="s">
        <v>71</v>
      </c>
      <c r="F14" s="9" t="s">
        <v>119</v>
      </c>
      <c r="G14" s="9" t="s">
        <v>51</v>
      </c>
      <c r="H14" s="9" t="s">
        <v>120</v>
      </c>
      <c r="I14" s="9" t="s">
        <v>128</v>
      </c>
      <c r="J14" s="9" t="s">
        <v>129</v>
      </c>
      <c r="K14" s="9" t="s">
        <v>130</v>
      </c>
      <c r="L14" s="9" t="s">
        <v>131</v>
      </c>
      <c r="M14" s="9" t="s">
        <v>132</v>
      </c>
      <c r="N14" s="6"/>
      <c r="O14" s="6" t="s">
        <v>58</v>
      </c>
      <c r="P14" s="6"/>
      <c r="Q14" s="6"/>
      <c r="R14" s="10"/>
      <c r="S14" s="6"/>
    </row>
    <row r="15" spans="1:19" ht="37.5" x14ac:dyDescent="0.35">
      <c r="A15" s="8" t="s">
        <v>133</v>
      </c>
      <c r="B15" s="9" t="s">
        <v>134</v>
      </c>
      <c r="C15" s="9" t="s">
        <v>135</v>
      </c>
      <c r="D15" s="9" t="s">
        <v>136</v>
      </c>
      <c r="E15" s="9" t="s">
        <v>71</v>
      </c>
      <c r="F15" s="9" t="s">
        <v>72</v>
      </c>
      <c r="G15" s="9" t="s">
        <v>137</v>
      </c>
      <c r="H15" s="9" t="s">
        <v>138</v>
      </c>
      <c r="I15" s="9" t="s">
        <v>139</v>
      </c>
      <c r="J15" s="9" t="s">
        <v>140</v>
      </c>
      <c r="K15" s="9" t="s">
        <v>141</v>
      </c>
      <c r="L15" s="9" t="s">
        <v>142</v>
      </c>
      <c r="M15" s="9" t="s">
        <v>143</v>
      </c>
      <c r="N15" s="6"/>
      <c r="O15" s="6" t="s">
        <v>58</v>
      </c>
      <c r="P15" s="6"/>
      <c r="Q15" s="6"/>
      <c r="R15" s="10"/>
      <c r="S15" s="6"/>
    </row>
    <row r="16" spans="1:19" ht="100" x14ac:dyDescent="0.35">
      <c r="A16" s="8" t="s">
        <v>144</v>
      </c>
      <c r="B16" s="9" t="s">
        <v>134</v>
      </c>
      <c r="C16" s="9" t="s">
        <v>135</v>
      </c>
      <c r="D16" s="9" t="s">
        <v>145</v>
      </c>
      <c r="E16" s="9" t="s">
        <v>49</v>
      </c>
      <c r="F16" s="9" t="s">
        <v>50</v>
      </c>
      <c r="G16" s="9" t="s">
        <v>137</v>
      </c>
      <c r="H16" s="9" t="s">
        <v>146</v>
      </c>
      <c r="I16" s="9" t="s">
        <v>147</v>
      </c>
      <c r="J16" s="9" t="s">
        <v>148</v>
      </c>
      <c r="K16" s="9" t="s">
        <v>149</v>
      </c>
      <c r="L16" s="9" t="s">
        <v>150</v>
      </c>
      <c r="M16" s="9" t="s">
        <v>151</v>
      </c>
      <c r="N16" s="6"/>
      <c r="O16" s="6" t="s">
        <v>58</v>
      </c>
      <c r="P16" s="6"/>
      <c r="Q16" s="6"/>
      <c r="R16" s="10"/>
      <c r="S16" s="6"/>
    </row>
    <row r="17" spans="1:19" ht="62.5" x14ac:dyDescent="0.35">
      <c r="A17" s="8" t="s">
        <v>152</v>
      </c>
      <c r="B17" s="9" t="s">
        <v>134</v>
      </c>
      <c r="C17" s="9" t="s">
        <v>135</v>
      </c>
      <c r="D17" s="9" t="s">
        <v>153</v>
      </c>
      <c r="E17" s="9" t="s">
        <v>71</v>
      </c>
      <c r="F17" s="9" t="s">
        <v>72</v>
      </c>
      <c r="G17" s="9" t="s">
        <v>137</v>
      </c>
      <c r="H17" s="9" t="s">
        <v>154</v>
      </c>
      <c r="I17" s="9" t="s">
        <v>155</v>
      </c>
      <c r="J17" s="9" t="s">
        <v>156</v>
      </c>
      <c r="K17" s="9" t="s">
        <v>157</v>
      </c>
      <c r="L17" s="9" t="s">
        <v>158</v>
      </c>
      <c r="M17" s="9" t="s">
        <v>159</v>
      </c>
      <c r="N17" s="6"/>
      <c r="O17" s="6" t="s">
        <v>58</v>
      </c>
      <c r="P17" s="6"/>
      <c r="Q17" s="6"/>
      <c r="R17" s="10"/>
      <c r="S17" s="6"/>
    </row>
    <row r="18" spans="1:19" ht="50" x14ac:dyDescent="0.35">
      <c r="A18" s="8" t="s">
        <v>160</v>
      </c>
      <c r="B18" s="9" t="s">
        <v>134</v>
      </c>
      <c r="C18" s="9" t="s">
        <v>135</v>
      </c>
      <c r="D18" s="9" t="s">
        <v>161</v>
      </c>
      <c r="E18" s="9" t="s">
        <v>49</v>
      </c>
      <c r="F18" s="9" t="s">
        <v>72</v>
      </c>
      <c r="G18" s="9" t="s">
        <v>73</v>
      </c>
      <c r="H18" s="9" t="s">
        <v>138</v>
      </c>
      <c r="I18" s="9" t="s">
        <v>162</v>
      </c>
      <c r="J18" s="9" t="s">
        <v>163</v>
      </c>
      <c r="K18" s="9" t="s">
        <v>164</v>
      </c>
      <c r="L18" s="9" t="s">
        <v>165</v>
      </c>
      <c r="M18" s="9" t="s">
        <v>166</v>
      </c>
      <c r="N18" s="6"/>
      <c r="O18" s="6" t="s">
        <v>58</v>
      </c>
      <c r="P18" s="6"/>
      <c r="Q18" s="6"/>
      <c r="R18" s="10"/>
      <c r="S18" s="6"/>
    </row>
    <row r="19" spans="1:19" ht="37.5" x14ac:dyDescent="0.35">
      <c r="A19" s="8" t="s">
        <v>167</v>
      </c>
      <c r="B19" s="9" t="s">
        <v>134</v>
      </c>
      <c r="C19" s="9" t="s">
        <v>135</v>
      </c>
      <c r="D19" s="9" t="s">
        <v>168</v>
      </c>
      <c r="E19" s="9" t="s">
        <v>71</v>
      </c>
      <c r="F19" s="9" t="s">
        <v>72</v>
      </c>
      <c r="G19" s="9" t="s">
        <v>169</v>
      </c>
      <c r="H19" s="9" t="s">
        <v>170</v>
      </c>
      <c r="I19" s="9" t="s">
        <v>102</v>
      </c>
      <c r="J19" s="9" t="s">
        <v>171</v>
      </c>
      <c r="K19" s="9" t="s">
        <v>172</v>
      </c>
      <c r="L19" s="9" t="s">
        <v>173</v>
      </c>
      <c r="M19" s="9" t="s">
        <v>174</v>
      </c>
      <c r="N19" s="6"/>
      <c r="O19" s="6" t="s">
        <v>58</v>
      </c>
      <c r="P19" s="6"/>
      <c r="Q19" s="6"/>
      <c r="R19" s="10"/>
      <c r="S19" s="6"/>
    </row>
    <row r="20" spans="1:19" ht="37.5" x14ac:dyDescent="0.35">
      <c r="A20" s="8" t="s">
        <v>175</v>
      </c>
      <c r="B20" s="9" t="s">
        <v>176</v>
      </c>
      <c r="C20" s="9" t="s">
        <v>177</v>
      </c>
      <c r="D20" s="9" t="s">
        <v>178</v>
      </c>
      <c r="E20" s="9" t="s">
        <v>49</v>
      </c>
      <c r="F20" s="9" t="s">
        <v>50</v>
      </c>
      <c r="G20" s="9" t="s">
        <v>179</v>
      </c>
      <c r="H20" s="9" t="s">
        <v>180</v>
      </c>
      <c r="I20" s="9" t="s">
        <v>181</v>
      </c>
      <c r="J20" s="9" t="s">
        <v>182</v>
      </c>
      <c r="K20" s="9" t="s">
        <v>183</v>
      </c>
      <c r="L20" s="9" t="s">
        <v>184</v>
      </c>
      <c r="M20" s="9" t="s">
        <v>185</v>
      </c>
      <c r="N20" s="6"/>
      <c r="O20" s="6" t="s">
        <v>58</v>
      </c>
      <c r="P20" s="6"/>
      <c r="Q20" s="6"/>
      <c r="R20" s="10"/>
      <c r="S20" s="6"/>
    </row>
    <row r="21" spans="1:19" ht="62.5" x14ac:dyDescent="0.35">
      <c r="A21" s="8" t="s">
        <v>186</v>
      </c>
      <c r="B21" s="9" t="s">
        <v>176</v>
      </c>
      <c r="C21" s="9" t="s">
        <v>187</v>
      </c>
      <c r="D21" s="9" t="s">
        <v>188</v>
      </c>
      <c r="E21" s="9" t="s">
        <v>49</v>
      </c>
      <c r="F21" s="9" t="s">
        <v>50</v>
      </c>
      <c r="G21" s="9" t="s">
        <v>189</v>
      </c>
      <c r="H21" s="9" t="s">
        <v>190</v>
      </c>
      <c r="I21" s="9" t="s">
        <v>191</v>
      </c>
      <c r="J21" s="9" t="s">
        <v>192</v>
      </c>
      <c r="K21" s="9" t="s">
        <v>193</v>
      </c>
      <c r="L21" s="9" t="s">
        <v>194</v>
      </c>
      <c r="M21" s="9" t="s">
        <v>195</v>
      </c>
      <c r="N21" s="6"/>
      <c r="O21" s="6" t="s">
        <v>58</v>
      </c>
      <c r="P21" s="6"/>
      <c r="Q21" s="6"/>
      <c r="R21" s="10"/>
      <c r="S21" s="6"/>
    </row>
    <row r="22" spans="1:19" ht="62.5" x14ac:dyDescent="0.35">
      <c r="A22" s="8" t="s">
        <v>196</v>
      </c>
      <c r="B22" s="9" t="s">
        <v>176</v>
      </c>
      <c r="C22" s="9" t="s">
        <v>187</v>
      </c>
      <c r="D22" s="9" t="s">
        <v>197</v>
      </c>
      <c r="E22" s="9" t="s">
        <v>71</v>
      </c>
      <c r="F22" s="9" t="s">
        <v>72</v>
      </c>
      <c r="G22" s="9" t="s">
        <v>198</v>
      </c>
      <c r="H22" s="9" t="s">
        <v>199</v>
      </c>
      <c r="I22" s="9" t="s">
        <v>200</v>
      </c>
      <c r="J22" s="9" t="s">
        <v>201</v>
      </c>
      <c r="K22" s="9" t="s">
        <v>202</v>
      </c>
      <c r="L22" s="9" t="s">
        <v>203</v>
      </c>
      <c r="M22" s="9" t="s">
        <v>204</v>
      </c>
      <c r="N22" s="6"/>
      <c r="O22" s="6" t="s">
        <v>58</v>
      </c>
      <c r="P22" s="6"/>
      <c r="Q22" s="6"/>
      <c r="R22" s="10"/>
      <c r="S22" s="6"/>
    </row>
    <row r="23" spans="1:19" ht="87.5" x14ac:dyDescent="0.35">
      <c r="A23" s="8" t="s">
        <v>205</v>
      </c>
      <c r="B23" s="9" t="s">
        <v>206</v>
      </c>
      <c r="C23" s="9" t="s">
        <v>207</v>
      </c>
      <c r="D23" s="9" t="s">
        <v>208</v>
      </c>
      <c r="E23" s="9" t="s">
        <v>49</v>
      </c>
      <c r="F23" s="9" t="s">
        <v>50</v>
      </c>
      <c r="G23" s="9" t="s">
        <v>209</v>
      </c>
      <c r="H23" s="9" t="s">
        <v>210</v>
      </c>
      <c r="I23" s="9" t="s">
        <v>211</v>
      </c>
      <c r="J23" s="9" t="s">
        <v>212</v>
      </c>
      <c r="K23" s="9" t="s">
        <v>213</v>
      </c>
      <c r="L23" s="9" t="s">
        <v>214</v>
      </c>
      <c r="M23" s="9" t="s">
        <v>215</v>
      </c>
      <c r="N23" s="6"/>
      <c r="O23" s="6" t="s">
        <v>58</v>
      </c>
      <c r="P23" s="6"/>
      <c r="Q23" s="6"/>
      <c r="R23" s="10"/>
      <c r="S23" s="6"/>
    </row>
    <row r="24" spans="1:19" ht="75" x14ac:dyDescent="0.35">
      <c r="A24" s="8" t="s">
        <v>216</v>
      </c>
      <c r="B24" s="9" t="s">
        <v>206</v>
      </c>
      <c r="C24" s="9" t="s">
        <v>217</v>
      </c>
      <c r="D24" s="9" t="s">
        <v>218</v>
      </c>
      <c r="E24" s="9" t="s">
        <v>49</v>
      </c>
      <c r="F24" s="9" t="s">
        <v>72</v>
      </c>
      <c r="G24" s="9" t="s">
        <v>219</v>
      </c>
      <c r="H24" s="9" t="s">
        <v>220</v>
      </c>
      <c r="I24" s="9" t="s">
        <v>221</v>
      </c>
      <c r="J24" s="9" t="s">
        <v>222</v>
      </c>
      <c r="K24" s="9" t="s">
        <v>223</v>
      </c>
      <c r="L24" s="9" t="s">
        <v>224</v>
      </c>
      <c r="M24" s="9" t="s">
        <v>225</v>
      </c>
      <c r="N24" s="6"/>
      <c r="O24" s="6" t="s">
        <v>58</v>
      </c>
      <c r="P24" s="6"/>
      <c r="Q24" s="6"/>
      <c r="R24" s="10"/>
      <c r="S24" s="6"/>
    </row>
    <row r="25" spans="1:19" ht="62.5" x14ac:dyDescent="0.35">
      <c r="A25" s="8" t="s">
        <v>226</v>
      </c>
      <c r="B25" s="9" t="s">
        <v>227</v>
      </c>
      <c r="C25" s="9" t="s">
        <v>228</v>
      </c>
      <c r="D25" s="9" t="s">
        <v>229</v>
      </c>
      <c r="E25" s="9" t="s">
        <v>71</v>
      </c>
      <c r="F25" s="9" t="s">
        <v>50</v>
      </c>
      <c r="G25" s="9" t="s">
        <v>51</v>
      </c>
      <c r="H25" s="9" t="s">
        <v>230</v>
      </c>
      <c r="I25" s="9" t="s">
        <v>231</v>
      </c>
      <c r="J25" s="9" t="s">
        <v>232</v>
      </c>
      <c r="K25" s="9" t="s">
        <v>233</v>
      </c>
      <c r="L25" s="9" t="s">
        <v>234</v>
      </c>
      <c r="M25" s="9" t="s">
        <v>235</v>
      </c>
      <c r="N25" s="6"/>
      <c r="O25" s="6" t="s">
        <v>58</v>
      </c>
      <c r="P25" s="6"/>
      <c r="Q25" s="6"/>
      <c r="R25" s="10"/>
      <c r="S25" s="6"/>
    </row>
    <row r="26" spans="1:19" ht="75" x14ac:dyDescent="0.35">
      <c r="A26" s="8" t="s">
        <v>236</v>
      </c>
      <c r="B26" s="9" t="s">
        <v>227</v>
      </c>
      <c r="C26" s="9" t="s">
        <v>228</v>
      </c>
      <c r="D26" s="9" t="s">
        <v>237</v>
      </c>
      <c r="E26" s="9" t="s">
        <v>49</v>
      </c>
      <c r="F26" s="9" t="s">
        <v>50</v>
      </c>
      <c r="G26" s="9" t="s">
        <v>238</v>
      </c>
      <c r="H26" s="9" t="s">
        <v>239</v>
      </c>
      <c r="I26" s="9" t="s">
        <v>240</v>
      </c>
      <c r="J26" s="9" t="s">
        <v>241</v>
      </c>
      <c r="K26" s="9" t="s">
        <v>242</v>
      </c>
      <c r="L26" s="9" t="s">
        <v>243</v>
      </c>
      <c r="M26" s="9" t="s">
        <v>244</v>
      </c>
      <c r="N26" s="6"/>
      <c r="O26" s="6" t="s">
        <v>58</v>
      </c>
      <c r="P26" s="6"/>
      <c r="Q26" s="6"/>
      <c r="R26" s="10"/>
      <c r="S26" s="6"/>
    </row>
    <row r="27" spans="1:19" ht="25" x14ac:dyDescent="0.35">
      <c r="A27" s="8" t="s">
        <v>245</v>
      </c>
      <c r="B27" s="9" t="s">
        <v>227</v>
      </c>
      <c r="C27" s="9" t="s">
        <v>246</v>
      </c>
      <c r="D27" s="9" t="s">
        <v>247</v>
      </c>
      <c r="E27" s="9" t="s">
        <v>71</v>
      </c>
      <c r="F27" s="9" t="s">
        <v>50</v>
      </c>
      <c r="G27" s="9" t="s">
        <v>51</v>
      </c>
      <c r="H27" s="9" t="s">
        <v>248</v>
      </c>
      <c r="I27" s="9" t="s">
        <v>102</v>
      </c>
      <c r="J27" s="9" t="s">
        <v>249</v>
      </c>
      <c r="K27" s="9" t="s">
        <v>250</v>
      </c>
      <c r="L27" s="9" t="s">
        <v>251</v>
      </c>
      <c r="M27" s="9" t="s">
        <v>252</v>
      </c>
      <c r="N27" s="6"/>
      <c r="O27" s="6" t="s">
        <v>58</v>
      </c>
      <c r="P27" s="6"/>
      <c r="Q27" s="6"/>
      <c r="R27" s="10"/>
      <c r="S27" s="6"/>
    </row>
    <row r="28" spans="1:19" ht="62.5" x14ac:dyDescent="0.35">
      <c r="A28" s="8" t="s">
        <v>253</v>
      </c>
      <c r="B28" s="9" t="s">
        <v>254</v>
      </c>
      <c r="C28" s="9" t="s">
        <v>255</v>
      </c>
      <c r="D28" s="9" t="s">
        <v>256</v>
      </c>
      <c r="E28" s="9" t="s">
        <v>71</v>
      </c>
      <c r="F28" s="9" t="s">
        <v>50</v>
      </c>
      <c r="G28" s="9" t="s">
        <v>51</v>
      </c>
      <c r="H28" s="9" t="s">
        <v>257</v>
      </c>
      <c r="I28" s="9" t="s">
        <v>258</v>
      </c>
      <c r="J28" s="9" t="s">
        <v>259</v>
      </c>
      <c r="K28" s="9" t="s">
        <v>260</v>
      </c>
      <c r="L28" s="9" t="s">
        <v>261</v>
      </c>
      <c r="M28" s="9" t="s">
        <v>262</v>
      </c>
      <c r="N28" s="6"/>
      <c r="O28" s="6" t="s">
        <v>58</v>
      </c>
      <c r="P28" s="6"/>
      <c r="Q28" s="6"/>
      <c r="R28" s="10"/>
      <c r="S28" s="6"/>
    </row>
    <row r="29" spans="1:19" ht="62.5" x14ac:dyDescent="0.35">
      <c r="A29" s="8" t="s">
        <v>263</v>
      </c>
      <c r="B29" s="9" t="s">
        <v>254</v>
      </c>
      <c r="C29" s="9" t="s">
        <v>255</v>
      </c>
      <c r="D29" s="9" t="s">
        <v>264</v>
      </c>
      <c r="E29" s="9" t="s">
        <v>49</v>
      </c>
      <c r="F29" s="9" t="s">
        <v>50</v>
      </c>
      <c r="G29" s="9" t="s">
        <v>265</v>
      </c>
      <c r="H29" s="9" t="s">
        <v>266</v>
      </c>
      <c r="I29" s="9" t="s">
        <v>240</v>
      </c>
      <c r="J29" s="9" t="s">
        <v>267</v>
      </c>
      <c r="K29" s="9" t="s">
        <v>268</v>
      </c>
      <c r="L29" s="9" t="s">
        <v>269</v>
      </c>
      <c r="M29" s="9" t="s">
        <v>270</v>
      </c>
      <c r="N29" s="6"/>
      <c r="O29" s="6" t="s">
        <v>58</v>
      </c>
      <c r="P29" s="6"/>
      <c r="Q29" s="6"/>
      <c r="R29" s="10"/>
      <c r="S29" s="6"/>
    </row>
    <row r="30" spans="1:19" ht="75" x14ac:dyDescent="0.35">
      <c r="A30" s="8" t="s">
        <v>271</v>
      </c>
      <c r="B30" s="9" t="s">
        <v>272</v>
      </c>
      <c r="C30" s="9" t="s">
        <v>273</v>
      </c>
      <c r="D30" s="9" t="s">
        <v>274</v>
      </c>
      <c r="E30" s="9" t="s">
        <v>49</v>
      </c>
      <c r="F30" s="9" t="s">
        <v>72</v>
      </c>
      <c r="G30" s="9" t="s">
        <v>275</v>
      </c>
      <c r="H30" s="9" t="s">
        <v>276</v>
      </c>
      <c r="I30" s="9" t="s">
        <v>277</v>
      </c>
      <c r="J30" s="9" t="s">
        <v>278</v>
      </c>
      <c r="K30" s="9" t="s">
        <v>279</v>
      </c>
      <c r="L30" s="9" t="s">
        <v>280</v>
      </c>
      <c r="M30" s="9" t="s">
        <v>281</v>
      </c>
      <c r="N30" s="6"/>
      <c r="O30" s="6" t="s">
        <v>58</v>
      </c>
      <c r="P30" s="6"/>
      <c r="Q30" s="6"/>
      <c r="R30" s="10"/>
      <c r="S30" s="6"/>
    </row>
    <row r="31" spans="1:19" ht="87.5" x14ac:dyDescent="0.35">
      <c r="A31" s="8" t="s">
        <v>282</v>
      </c>
      <c r="B31" s="9" t="s">
        <v>272</v>
      </c>
      <c r="C31" s="9" t="s">
        <v>283</v>
      </c>
      <c r="D31" s="9" t="s">
        <v>284</v>
      </c>
      <c r="E31" s="9" t="s">
        <v>71</v>
      </c>
      <c r="F31" s="9" t="s">
        <v>50</v>
      </c>
      <c r="G31" s="9" t="s">
        <v>285</v>
      </c>
      <c r="H31" s="9" t="s">
        <v>286</v>
      </c>
      <c r="I31" s="9" t="s">
        <v>287</v>
      </c>
      <c r="J31" s="9" t="s">
        <v>288</v>
      </c>
      <c r="K31" s="9" t="s">
        <v>289</v>
      </c>
      <c r="L31" s="9" t="s">
        <v>290</v>
      </c>
      <c r="M31" s="9" t="s">
        <v>291</v>
      </c>
      <c r="N31" s="6"/>
      <c r="O31" s="6" t="s">
        <v>58</v>
      </c>
      <c r="P31" s="6"/>
      <c r="Q31" s="6"/>
      <c r="R31" s="10"/>
      <c r="S31" s="6"/>
    </row>
    <row r="32" spans="1:19" ht="75" x14ac:dyDescent="0.35">
      <c r="A32" s="8" t="s">
        <v>292</v>
      </c>
      <c r="B32" s="9" t="s">
        <v>293</v>
      </c>
      <c r="C32" s="9" t="s">
        <v>283</v>
      </c>
      <c r="D32" s="9" t="s">
        <v>294</v>
      </c>
      <c r="E32" s="9" t="s">
        <v>49</v>
      </c>
      <c r="F32" s="9" t="s">
        <v>50</v>
      </c>
      <c r="G32" s="9" t="s">
        <v>179</v>
      </c>
      <c r="H32" s="9" t="s">
        <v>295</v>
      </c>
      <c r="I32" s="9" t="s">
        <v>296</v>
      </c>
      <c r="J32" s="9" t="s">
        <v>297</v>
      </c>
      <c r="K32" s="9" t="s">
        <v>298</v>
      </c>
      <c r="L32" s="9" t="s">
        <v>299</v>
      </c>
      <c r="M32" s="9" t="s">
        <v>300</v>
      </c>
      <c r="N32" s="6"/>
      <c r="O32" s="6" t="s">
        <v>58</v>
      </c>
      <c r="P32" s="6"/>
      <c r="Q32" s="6"/>
      <c r="R32" s="10"/>
      <c r="S32" s="6"/>
    </row>
    <row r="33" spans="1:19" ht="75" x14ac:dyDescent="0.35">
      <c r="A33" s="8" t="s">
        <v>301</v>
      </c>
      <c r="B33" s="9" t="s">
        <v>293</v>
      </c>
      <c r="C33" s="9" t="s">
        <v>217</v>
      </c>
      <c r="D33" s="9" t="s">
        <v>302</v>
      </c>
      <c r="E33" s="9" t="s">
        <v>49</v>
      </c>
      <c r="F33" s="9" t="s">
        <v>72</v>
      </c>
      <c r="G33" s="9" t="s">
        <v>51</v>
      </c>
      <c r="H33" s="9" t="s">
        <v>303</v>
      </c>
      <c r="I33" s="9" t="s">
        <v>304</v>
      </c>
      <c r="J33" s="9" t="s">
        <v>305</v>
      </c>
      <c r="K33" s="9" t="s">
        <v>306</v>
      </c>
      <c r="L33" s="9" t="s">
        <v>307</v>
      </c>
      <c r="M33" s="9" t="s">
        <v>308</v>
      </c>
      <c r="N33" s="6"/>
      <c r="O33" s="6" t="s">
        <v>58</v>
      </c>
      <c r="P33" s="6"/>
      <c r="Q33" s="6"/>
      <c r="R33" s="10"/>
      <c r="S33" s="6"/>
    </row>
    <row r="34" spans="1:19" ht="37.5" x14ac:dyDescent="0.35">
      <c r="A34" s="8" t="s">
        <v>309</v>
      </c>
      <c r="B34" s="9" t="s">
        <v>310</v>
      </c>
      <c r="C34" s="9" t="s">
        <v>311</v>
      </c>
      <c r="D34" s="9" t="s">
        <v>312</v>
      </c>
      <c r="E34" s="9" t="s">
        <v>71</v>
      </c>
      <c r="F34" s="9" t="s">
        <v>50</v>
      </c>
      <c r="G34" s="9" t="s">
        <v>51</v>
      </c>
      <c r="H34" s="9" t="s">
        <v>313</v>
      </c>
      <c r="I34" s="9" t="s">
        <v>102</v>
      </c>
      <c r="J34" s="9" t="s">
        <v>314</v>
      </c>
      <c r="K34" s="9" t="s">
        <v>315</v>
      </c>
      <c r="L34" s="9" t="s">
        <v>316</v>
      </c>
      <c r="M34" s="9" t="s">
        <v>317</v>
      </c>
      <c r="N34" s="6"/>
      <c r="O34" s="6" t="s">
        <v>58</v>
      </c>
      <c r="P34" s="6"/>
      <c r="Q34" s="6"/>
      <c r="R34" s="10"/>
      <c r="S34" s="6"/>
    </row>
    <row r="35" spans="1:19" ht="50" x14ac:dyDescent="0.35">
      <c r="A35" s="8" t="s">
        <v>318</v>
      </c>
      <c r="B35" s="9" t="s">
        <v>310</v>
      </c>
      <c r="C35" s="9" t="s">
        <v>311</v>
      </c>
      <c r="D35" s="9" t="s">
        <v>319</v>
      </c>
      <c r="E35" s="9" t="s">
        <v>49</v>
      </c>
      <c r="F35" s="9" t="s">
        <v>50</v>
      </c>
      <c r="G35" s="9" t="s">
        <v>51</v>
      </c>
      <c r="H35" s="9" t="s">
        <v>320</v>
      </c>
      <c r="I35" s="9" t="s">
        <v>321</v>
      </c>
      <c r="J35" s="9" t="s">
        <v>322</v>
      </c>
      <c r="K35" s="9" t="s">
        <v>323</v>
      </c>
      <c r="L35" s="9" t="s">
        <v>324</v>
      </c>
      <c r="M35" s="9" t="s">
        <v>325</v>
      </c>
      <c r="N35" s="6"/>
      <c r="O35" s="6" t="s">
        <v>58</v>
      </c>
      <c r="P35" s="6"/>
      <c r="Q35" s="6"/>
      <c r="R35" s="10"/>
      <c r="S35" s="6"/>
    </row>
    <row r="36" spans="1:19" ht="62.5" x14ac:dyDescent="0.35">
      <c r="A36" s="8" t="s">
        <v>326</v>
      </c>
      <c r="B36" s="9" t="s">
        <v>310</v>
      </c>
      <c r="C36" s="9" t="s">
        <v>311</v>
      </c>
      <c r="D36" s="9" t="s">
        <v>327</v>
      </c>
      <c r="E36" s="9" t="s">
        <v>71</v>
      </c>
      <c r="F36" s="9" t="s">
        <v>50</v>
      </c>
      <c r="G36" s="9" t="s">
        <v>51</v>
      </c>
      <c r="H36" s="9" t="s">
        <v>328</v>
      </c>
      <c r="I36" s="9" t="s">
        <v>329</v>
      </c>
      <c r="J36" s="9" t="s">
        <v>330</v>
      </c>
      <c r="K36" s="9" t="s">
        <v>331</v>
      </c>
      <c r="L36" s="9" t="s">
        <v>332</v>
      </c>
      <c r="M36" s="9" t="s">
        <v>333</v>
      </c>
      <c r="N36" s="6"/>
      <c r="O36" s="6" t="s">
        <v>58</v>
      </c>
      <c r="P36" s="6"/>
      <c r="Q36" s="6"/>
      <c r="R36" s="10"/>
      <c r="S36" s="6"/>
    </row>
    <row r="37" spans="1:19" ht="50" x14ac:dyDescent="0.35">
      <c r="A37" s="8" t="s">
        <v>334</v>
      </c>
      <c r="B37" s="9" t="s">
        <v>310</v>
      </c>
      <c r="C37" s="9" t="s">
        <v>311</v>
      </c>
      <c r="D37" s="9" t="s">
        <v>335</v>
      </c>
      <c r="E37" s="9" t="s">
        <v>49</v>
      </c>
      <c r="F37" s="9" t="s">
        <v>72</v>
      </c>
      <c r="G37" s="9" t="s">
        <v>336</v>
      </c>
      <c r="H37" s="9" t="s">
        <v>337</v>
      </c>
      <c r="I37" s="9" t="s">
        <v>240</v>
      </c>
      <c r="J37" s="9" t="s">
        <v>338</v>
      </c>
      <c r="K37" s="9" t="s">
        <v>339</v>
      </c>
      <c r="L37" s="9" t="s">
        <v>340</v>
      </c>
      <c r="M37" s="9" t="s">
        <v>341</v>
      </c>
      <c r="N37" s="6"/>
      <c r="O37" s="6" t="s">
        <v>58</v>
      </c>
      <c r="P37" s="6"/>
      <c r="Q37" s="6"/>
      <c r="R37" s="10"/>
      <c r="S37" s="6"/>
    </row>
    <row r="38" spans="1:19" ht="75" x14ac:dyDescent="0.35">
      <c r="A38" s="8" t="s">
        <v>342</v>
      </c>
      <c r="B38" s="9" t="s">
        <v>343</v>
      </c>
      <c r="C38" s="9" t="s">
        <v>344</v>
      </c>
      <c r="D38" s="9" t="s">
        <v>345</v>
      </c>
      <c r="E38" s="9" t="s">
        <v>49</v>
      </c>
      <c r="F38" s="9" t="s">
        <v>119</v>
      </c>
      <c r="G38" s="9" t="s">
        <v>346</v>
      </c>
      <c r="H38" s="9" t="s">
        <v>347</v>
      </c>
      <c r="I38" s="9" t="s">
        <v>348</v>
      </c>
      <c r="J38" s="9" t="s">
        <v>349</v>
      </c>
      <c r="K38" s="9" t="s">
        <v>350</v>
      </c>
      <c r="L38" s="9" t="s">
        <v>351</v>
      </c>
      <c r="M38" s="9" t="s">
        <v>352</v>
      </c>
      <c r="N38" s="6"/>
      <c r="O38" s="6" t="s">
        <v>58</v>
      </c>
      <c r="P38" s="6"/>
      <c r="Q38" s="6"/>
      <c r="R38" s="10"/>
      <c r="S38" s="6"/>
    </row>
    <row r="39" spans="1:19" ht="50" x14ac:dyDescent="0.35">
      <c r="A39" s="8" t="s">
        <v>353</v>
      </c>
      <c r="B39" s="9" t="s">
        <v>354</v>
      </c>
      <c r="C39" s="9" t="s">
        <v>355</v>
      </c>
      <c r="D39" s="9" t="s">
        <v>356</v>
      </c>
      <c r="E39" s="9" t="s">
        <v>71</v>
      </c>
      <c r="F39" s="9" t="s">
        <v>50</v>
      </c>
      <c r="G39" s="9" t="s">
        <v>51</v>
      </c>
      <c r="H39" s="9" t="s">
        <v>357</v>
      </c>
      <c r="I39" s="9" t="s">
        <v>102</v>
      </c>
      <c r="J39" s="9" t="s">
        <v>358</v>
      </c>
      <c r="K39" s="9" t="s">
        <v>359</v>
      </c>
      <c r="L39" s="9" t="s">
        <v>360</v>
      </c>
      <c r="M39" s="9" t="s">
        <v>361</v>
      </c>
      <c r="N39" s="6"/>
      <c r="O39" s="6" t="s">
        <v>58</v>
      </c>
      <c r="P39" s="6"/>
      <c r="Q39" s="6"/>
      <c r="R39" s="10"/>
      <c r="S39" s="6"/>
    </row>
    <row r="40" spans="1:19" ht="37.5" x14ac:dyDescent="0.35">
      <c r="A40" s="8" t="s">
        <v>362</v>
      </c>
      <c r="B40" s="9" t="s">
        <v>354</v>
      </c>
      <c r="C40" s="9" t="s">
        <v>355</v>
      </c>
      <c r="D40" s="9" t="s">
        <v>363</v>
      </c>
      <c r="E40" s="9" t="s">
        <v>71</v>
      </c>
      <c r="F40" s="9" t="s">
        <v>50</v>
      </c>
      <c r="G40" s="9" t="s">
        <v>346</v>
      </c>
      <c r="H40" s="9" t="s">
        <v>364</v>
      </c>
      <c r="I40" s="9" t="s">
        <v>365</v>
      </c>
      <c r="J40" s="9" t="s">
        <v>366</v>
      </c>
      <c r="K40" s="9" t="s">
        <v>367</v>
      </c>
      <c r="L40" s="9" t="s">
        <v>368</v>
      </c>
      <c r="M40" s="9" t="s">
        <v>369</v>
      </c>
      <c r="N40" s="6"/>
      <c r="O40" s="6" t="s">
        <v>58</v>
      </c>
      <c r="P40" s="6"/>
      <c r="Q40" s="6"/>
      <c r="R40" s="10"/>
      <c r="S40" s="6"/>
    </row>
    <row r="41" spans="1:19" ht="50" x14ac:dyDescent="0.35">
      <c r="A41" s="8" t="s">
        <v>370</v>
      </c>
      <c r="B41" s="9" t="s">
        <v>354</v>
      </c>
      <c r="C41" s="9" t="s">
        <v>355</v>
      </c>
      <c r="D41" s="9" t="s">
        <v>371</v>
      </c>
      <c r="E41" s="9" t="s">
        <v>49</v>
      </c>
      <c r="F41" s="9" t="s">
        <v>50</v>
      </c>
      <c r="G41" s="9" t="s">
        <v>372</v>
      </c>
      <c r="H41" s="9" t="s">
        <v>373</v>
      </c>
      <c r="I41" s="9" t="s">
        <v>240</v>
      </c>
      <c r="J41" s="9" t="s">
        <v>374</v>
      </c>
      <c r="K41" s="9" t="s">
        <v>375</v>
      </c>
      <c r="L41" s="9" t="s">
        <v>376</v>
      </c>
      <c r="M41" s="9" t="s">
        <v>377</v>
      </c>
      <c r="N41" s="6"/>
      <c r="O41" s="6" t="s">
        <v>58</v>
      </c>
      <c r="P41" s="6"/>
      <c r="Q41" s="6"/>
      <c r="R41" s="10"/>
      <c r="S41" s="6"/>
    </row>
    <row r="42" spans="1:19" ht="50" x14ac:dyDescent="0.35">
      <c r="A42" s="8" t="s">
        <v>378</v>
      </c>
      <c r="B42" s="9" t="s">
        <v>354</v>
      </c>
      <c r="C42" s="9" t="s">
        <v>379</v>
      </c>
      <c r="D42" s="9" t="s">
        <v>380</v>
      </c>
      <c r="E42" s="9" t="s">
        <v>49</v>
      </c>
      <c r="F42" s="9" t="s">
        <v>50</v>
      </c>
      <c r="G42" s="9" t="s">
        <v>381</v>
      </c>
      <c r="H42" s="9" t="s">
        <v>382</v>
      </c>
      <c r="I42" s="9" t="s">
        <v>383</v>
      </c>
      <c r="J42" s="9" t="s">
        <v>384</v>
      </c>
      <c r="K42" s="9" t="s">
        <v>385</v>
      </c>
      <c r="L42" s="9" t="s">
        <v>386</v>
      </c>
      <c r="M42" s="9" t="s">
        <v>387</v>
      </c>
      <c r="N42" s="6"/>
      <c r="O42" s="6" t="s">
        <v>58</v>
      </c>
      <c r="P42" s="6"/>
      <c r="Q42" s="6"/>
      <c r="R42" s="10"/>
      <c r="S42" s="6"/>
    </row>
    <row r="43" spans="1:19" ht="37.5" x14ac:dyDescent="0.35">
      <c r="A43" s="8" t="s">
        <v>388</v>
      </c>
      <c r="B43" s="9" t="s">
        <v>354</v>
      </c>
      <c r="C43" s="9" t="s">
        <v>379</v>
      </c>
      <c r="D43" s="9" t="s">
        <v>389</v>
      </c>
      <c r="E43" s="9" t="s">
        <v>71</v>
      </c>
      <c r="F43" s="9" t="s">
        <v>50</v>
      </c>
      <c r="G43" s="9" t="s">
        <v>137</v>
      </c>
      <c r="H43" s="9" t="s">
        <v>390</v>
      </c>
      <c r="I43" s="9" t="s">
        <v>102</v>
      </c>
      <c r="J43" s="9" t="s">
        <v>391</v>
      </c>
      <c r="K43" s="9" t="s">
        <v>392</v>
      </c>
      <c r="L43" s="9" t="s">
        <v>393</v>
      </c>
      <c r="M43" s="9" t="s">
        <v>394</v>
      </c>
      <c r="N43" s="6"/>
      <c r="O43" s="6" t="s">
        <v>58</v>
      </c>
      <c r="P43" s="6"/>
      <c r="Q43" s="6"/>
      <c r="R43" s="10"/>
      <c r="S43" s="6"/>
    </row>
    <row r="44" spans="1:19" ht="50" x14ac:dyDescent="0.35">
      <c r="A44" s="8" t="s">
        <v>395</v>
      </c>
      <c r="B44" s="9" t="s">
        <v>354</v>
      </c>
      <c r="C44" s="9" t="s">
        <v>379</v>
      </c>
      <c r="D44" s="9" t="s">
        <v>396</v>
      </c>
      <c r="E44" s="9" t="s">
        <v>49</v>
      </c>
      <c r="F44" s="9" t="s">
        <v>72</v>
      </c>
      <c r="G44" s="9" t="s">
        <v>397</v>
      </c>
      <c r="H44" s="9" t="s">
        <v>398</v>
      </c>
      <c r="I44" s="9" t="s">
        <v>102</v>
      </c>
      <c r="J44" s="9" t="s">
        <v>399</v>
      </c>
      <c r="K44" s="9" t="s">
        <v>400</v>
      </c>
      <c r="L44" s="9" t="s">
        <v>401</v>
      </c>
      <c r="M44" s="9" t="s">
        <v>402</v>
      </c>
      <c r="N44" s="6"/>
      <c r="O44" s="6" t="s">
        <v>58</v>
      </c>
      <c r="P44" s="6"/>
      <c r="Q44" s="6"/>
      <c r="R44" s="10"/>
      <c r="S44" s="6"/>
    </row>
    <row r="45" spans="1:19" ht="62.5" x14ac:dyDescent="0.35">
      <c r="A45" s="8" t="s">
        <v>403</v>
      </c>
      <c r="B45" s="9" t="s">
        <v>354</v>
      </c>
      <c r="C45" s="9" t="s">
        <v>355</v>
      </c>
      <c r="D45" s="9" t="s">
        <v>404</v>
      </c>
      <c r="E45" s="9" t="s">
        <v>71</v>
      </c>
      <c r="F45" s="9" t="s">
        <v>50</v>
      </c>
      <c r="G45" s="9" t="s">
        <v>346</v>
      </c>
      <c r="H45" s="9" t="s">
        <v>405</v>
      </c>
      <c r="I45" s="9" t="s">
        <v>102</v>
      </c>
      <c r="J45" s="9" t="s">
        <v>406</v>
      </c>
      <c r="K45" s="9" t="s">
        <v>407</v>
      </c>
      <c r="L45" s="9" t="s">
        <v>408</v>
      </c>
      <c r="M45" s="9" t="s">
        <v>409</v>
      </c>
      <c r="N45" s="6"/>
      <c r="O45" s="6" t="s">
        <v>58</v>
      </c>
      <c r="P45" s="6"/>
      <c r="Q45" s="6"/>
      <c r="R45" s="10"/>
      <c r="S45" s="6"/>
    </row>
    <row r="46" spans="1:19" ht="62.5" x14ac:dyDescent="0.35">
      <c r="A46" s="8" t="s">
        <v>410</v>
      </c>
      <c r="B46" s="9" t="s">
        <v>411</v>
      </c>
      <c r="C46" s="9" t="s">
        <v>355</v>
      </c>
      <c r="D46" s="9" t="s">
        <v>412</v>
      </c>
      <c r="E46" s="9" t="s">
        <v>49</v>
      </c>
      <c r="F46" s="9" t="s">
        <v>50</v>
      </c>
      <c r="G46" s="9" t="s">
        <v>346</v>
      </c>
      <c r="H46" s="9" t="s">
        <v>413</v>
      </c>
      <c r="I46" s="9" t="s">
        <v>240</v>
      </c>
      <c r="J46" s="9" t="s">
        <v>414</v>
      </c>
      <c r="K46" s="9" t="s">
        <v>415</v>
      </c>
      <c r="L46" s="9" t="s">
        <v>416</v>
      </c>
      <c r="M46" s="9" t="s">
        <v>417</v>
      </c>
      <c r="N46" s="6"/>
      <c r="O46" s="6" t="s">
        <v>58</v>
      </c>
      <c r="P46" s="6"/>
      <c r="Q46" s="6"/>
      <c r="R46" s="10"/>
      <c r="S46" s="6"/>
    </row>
    <row r="47" spans="1:19" ht="37.5" x14ac:dyDescent="0.35">
      <c r="A47" s="8" t="s">
        <v>418</v>
      </c>
      <c r="B47" s="9" t="s">
        <v>411</v>
      </c>
      <c r="C47" s="9" t="s">
        <v>419</v>
      </c>
      <c r="D47" s="9" t="s">
        <v>420</v>
      </c>
      <c r="E47" s="9" t="s">
        <v>49</v>
      </c>
      <c r="F47" s="9" t="s">
        <v>119</v>
      </c>
      <c r="G47" s="9" t="s">
        <v>346</v>
      </c>
      <c r="H47" s="9" t="s">
        <v>421</v>
      </c>
      <c r="I47" s="9" t="s">
        <v>102</v>
      </c>
      <c r="J47" s="9" t="s">
        <v>422</v>
      </c>
      <c r="K47" s="9" t="s">
        <v>423</v>
      </c>
      <c r="L47" s="9" t="s">
        <v>424</v>
      </c>
      <c r="M47" s="9" t="s">
        <v>425</v>
      </c>
      <c r="N47" s="6"/>
      <c r="O47" s="6" t="s">
        <v>58</v>
      </c>
      <c r="P47" s="6"/>
      <c r="Q47" s="6"/>
      <c r="R47" s="10"/>
      <c r="S47" s="6"/>
    </row>
    <row r="48" spans="1:19" ht="50" x14ac:dyDescent="0.35">
      <c r="A48" s="8" t="s">
        <v>426</v>
      </c>
      <c r="B48" s="9" t="s">
        <v>427</v>
      </c>
      <c r="C48" s="9" t="s">
        <v>428</v>
      </c>
      <c r="D48" s="9" t="s">
        <v>429</v>
      </c>
      <c r="E48" s="9" t="s">
        <v>49</v>
      </c>
      <c r="F48" s="9" t="s">
        <v>72</v>
      </c>
      <c r="G48" s="9" t="s">
        <v>336</v>
      </c>
      <c r="H48" s="9" t="s">
        <v>430</v>
      </c>
      <c r="I48" s="9" t="s">
        <v>102</v>
      </c>
      <c r="J48" s="9" t="s">
        <v>431</v>
      </c>
      <c r="K48" s="9" t="s">
        <v>432</v>
      </c>
      <c r="L48" s="9" t="s">
        <v>433</v>
      </c>
      <c r="M48" s="9" t="s">
        <v>434</v>
      </c>
      <c r="N48" s="6"/>
      <c r="O48" s="6" t="s">
        <v>58</v>
      </c>
      <c r="P48" s="6"/>
      <c r="Q48" s="6"/>
      <c r="R48" s="10"/>
      <c r="S48" s="6"/>
    </row>
    <row r="49" spans="1:19" ht="50" x14ac:dyDescent="0.35">
      <c r="A49" s="8" t="s">
        <v>435</v>
      </c>
      <c r="B49" s="9" t="s">
        <v>427</v>
      </c>
      <c r="C49" s="9" t="s">
        <v>436</v>
      </c>
      <c r="D49" s="9" t="s">
        <v>437</v>
      </c>
      <c r="E49" s="9" t="s">
        <v>49</v>
      </c>
      <c r="F49" s="9" t="s">
        <v>72</v>
      </c>
      <c r="G49" s="9" t="s">
        <v>51</v>
      </c>
      <c r="H49" s="9" t="s">
        <v>438</v>
      </c>
      <c r="I49" s="9" t="s">
        <v>439</v>
      </c>
      <c r="J49" s="9" t="s">
        <v>440</v>
      </c>
      <c r="K49" s="9" t="s">
        <v>441</v>
      </c>
      <c r="L49" s="9" t="s">
        <v>442</v>
      </c>
      <c r="M49" s="9" t="s">
        <v>443</v>
      </c>
      <c r="N49" s="6"/>
      <c r="O49" s="6" t="s">
        <v>58</v>
      </c>
      <c r="P49" s="6"/>
      <c r="Q49" s="6"/>
      <c r="R49" s="10"/>
      <c r="S49" s="6"/>
    </row>
    <row r="50" spans="1:19" ht="50" x14ac:dyDescent="0.35">
      <c r="A50" s="8" t="s">
        <v>444</v>
      </c>
      <c r="B50" s="9" t="s">
        <v>427</v>
      </c>
      <c r="C50" s="9" t="s">
        <v>445</v>
      </c>
      <c r="D50" s="9" t="s">
        <v>446</v>
      </c>
      <c r="E50" s="9" t="s">
        <v>49</v>
      </c>
      <c r="F50" s="9" t="s">
        <v>119</v>
      </c>
      <c r="G50" s="9" t="s">
        <v>137</v>
      </c>
      <c r="H50" s="9" t="s">
        <v>447</v>
      </c>
      <c r="I50" s="9" t="s">
        <v>102</v>
      </c>
      <c r="J50" s="9" t="s">
        <v>448</v>
      </c>
      <c r="K50" s="9" t="s">
        <v>449</v>
      </c>
      <c r="L50" s="9" t="s">
        <v>450</v>
      </c>
      <c r="M50" s="9" t="s">
        <v>451</v>
      </c>
      <c r="N50" s="6"/>
      <c r="O50" s="6" t="s">
        <v>58</v>
      </c>
      <c r="P50" s="6"/>
      <c r="Q50" s="6"/>
      <c r="R50" s="10"/>
      <c r="S50" s="6"/>
    </row>
    <row r="51" spans="1:19" ht="50" x14ac:dyDescent="0.35">
      <c r="A51" s="8" t="s">
        <v>452</v>
      </c>
      <c r="B51" s="9" t="s">
        <v>427</v>
      </c>
      <c r="C51" s="9" t="s">
        <v>453</v>
      </c>
      <c r="D51" s="9" t="s">
        <v>454</v>
      </c>
      <c r="E51" s="9" t="s">
        <v>49</v>
      </c>
      <c r="F51" s="9" t="s">
        <v>119</v>
      </c>
      <c r="G51" s="9" t="s">
        <v>455</v>
      </c>
      <c r="H51" s="9" t="s">
        <v>456</v>
      </c>
      <c r="I51" s="9" t="s">
        <v>457</v>
      </c>
      <c r="J51" s="9" t="s">
        <v>458</v>
      </c>
      <c r="K51" s="9" t="s">
        <v>459</v>
      </c>
      <c r="L51" s="9" t="s">
        <v>460</v>
      </c>
      <c r="M51" s="9" t="s">
        <v>461</v>
      </c>
      <c r="N51" s="6"/>
      <c r="O51" s="6" t="s">
        <v>58</v>
      </c>
      <c r="P51" s="6"/>
      <c r="Q51" s="6"/>
      <c r="R51" s="10"/>
      <c r="S51" s="6"/>
    </row>
  </sheetData>
  <conditionalFormatting sqref="O6:O500">
    <cfRule type="expression" dxfId="2" priority="1">
      <formula>$O6="Pass"</formula>
    </cfRule>
    <cfRule type="expression" dxfId="1" priority="2">
      <formula>$O6="Fail"</formula>
    </cfRule>
    <cfRule type="expression" dxfId="0" priority="3">
      <formula>$O6="Blocked"</formula>
    </cfRule>
  </conditionalFormatting>
  <dataValidations count="4">
    <dataValidation type="list" allowBlank="1" sqref="O6:O500" xr:uid="{00000000-0002-0000-0100-000000000000}">
      <formula1>"Not run,Pass,Fail,Blocked"</formula1>
    </dataValidation>
    <dataValidation type="list" allowBlank="1" sqref="E6:E500" xr:uid="{00000000-0002-0000-0100-000001000000}">
      <formula1>"Positive,Negative"</formula1>
    </dataValidation>
    <dataValidation type="list" allowBlank="1" sqref="F6:F500" xr:uid="{00000000-0002-0000-0100-000002000000}">
      <formula1>"High,Medium,Low"</formula1>
    </dataValidation>
    <dataValidation type="date" operator="greaterThan" allowBlank="1" sqref="R6:R500" xr:uid="{00000000-0002-0000-0100-000003000000}">
      <formula1>DATE(2020,1,1)</formula1>
    </dataValidation>
  </dataValidations>
  <pageMargins left="0.75" right="0.75" top="1" bottom="1" header="0.5" footer="0.5"/>
  <pageSetup fitToHeight="0"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FBFBF"/>
    <pageSetUpPr fitToPage="1"/>
  </sheetPr>
  <dimension ref="A1:H36"/>
  <sheetViews>
    <sheetView showGridLines="0" workbookViewId="0">
      <pane ySplit="5" topLeftCell="A6" activePane="bottomLeft" state="frozen"/>
      <selection pane="bottomLeft"/>
    </sheetView>
  </sheetViews>
  <sheetFormatPr defaultRowHeight="14.5" x14ac:dyDescent="0.35"/>
  <cols>
    <col min="1" max="1" width="40" customWidth="1"/>
    <col min="2" max="2" width="10" customWidth="1"/>
    <col min="3" max="3" width="14" customWidth="1"/>
    <col min="4" max="6" width="10" customWidth="1"/>
    <col min="7" max="8" width="12" customWidth="1"/>
  </cols>
  <sheetData>
    <row r="1" spans="1:8" x14ac:dyDescent="0.35">
      <c r="A1" s="1" t="s">
        <v>0</v>
      </c>
    </row>
    <row r="2" spans="1:8" ht="20" x14ac:dyDescent="0.4">
      <c r="A2" s="2" t="s">
        <v>462</v>
      </c>
    </row>
    <row r="3" spans="1:8" x14ac:dyDescent="0.35">
      <c r="A3" s="3" t="s">
        <v>463</v>
      </c>
    </row>
    <row r="5" spans="1:8" ht="30" customHeight="1" x14ac:dyDescent="0.35">
      <c r="A5" s="7" t="s">
        <v>27</v>
      </c>
      <c r="B5" s="7" t="s">
        <v>464</v>
      </c>
      <c r="C5" s="7" t="s">
        <v>465</v>
      </c>
      <c r="D5" s="7" t="s">
        <v>466</v>
      </c>
      <c r="E5" s="7" t="s">
        <v>467</v>
      </c>
      <c r="F5" s="7" t="s">
        <v>58</v>
      </c>
      <c r="G5" s="7" t="s">
        <v>468</v>
      </c>
      <c r="H5" s="7" t="s">
        <v>469</v>
      </c>
    </row>
    <row r="6" spans="1:8" x14ac:dyDescent="0.35">
      <c r="A6" s="11" t="s">
        <v>46</v>
      </c>
      <c r="B6" s="11">
        <f>COUNTIF('Test Cases'!$B$6:$B$500,A6)</f>
        <v>6</v>
      </c>
      <c r="C6" s="11">
        <f>COUNTIFS('Test Cases'!$B$6:$B$500,$A6,'Test Cases'!$O$6:$O$500,"Pass")</f>
        <v>0</v>
      </c>
      <c r="D6" s="11">
        <f>COUNTIFS('Test Cases'!$B$6:$B$500,$A6,'Test Cases'!$O$6:$O$500,"Fail")</f>
        <v>0</v>
      </c>
      <c r="E6" s="11">
        <f>COUNTIFS('Test Cases'!$B$6:$B$500,$A6,'Test Cases'!$O$6:$O$500,"Blocked")</f>
        <v>0</v>
      </c>
      <c r="F6" s="11">
        <f t="shared" ref="F6:F19" si="0">B6-C6-D6-E6</f>
        <v>6</v>
      </c>
      <c r="G6" s="12">
        <f t="shared" ref="G6:G20" si="1">IF(B6=0,0,(C6+D6+E6)/B6)</f>
        <v>0</v>
      </c>
      <c r="H6" s="12">
        <f t="shared" ref="H6:H20" si="2">IF((C6+D6+E6)=0,0,C6/(C6+D6+E6))</f>
        <v>0</v>
      </c>
    </row>
    <row r="7" spans="1:8" x14ac:dyDescent="0.35">
      <c r="A7" s="11" t="s">
        <v>108</v>
      </c>
      <c r="B7" s="11">
        <f>COUNTIF('Test Cases'!$B$6:$B$500,A7)</f>
        <v>3</v>
      </c>
      <c r="C7" s="11">
        <f>COUNTIFS('Test Cases'!$B$6:$B$500,$A7,'Test Cases'!$O$6:$O$500,"Pass")</f>
        <v>0</v>
      </c>
      <c r="D7" s="11">
        <f>COUNTIFS('Test Cases'!$B$6:$B$500,$A7,'Test Cases'!$O$6:$O$500,"Fail")</f>
        <v>0</v>
      </c>
      <c r="E7" s="11">
        <f>COUNTIFS('Test Cases'!$B$6:$B$500,$A7,'Test Cases'!$O$6:$O$500,"Blocked")</f>
        <v>0</v>
      </c>
      <c r="F7" s="11">
        <f t="shared" si="0"/>
        <v>3</v>
      </c>
      <c r="G7" s="12">
        <f t="shared" si="1"/>
        <v>0</v>
      </c>
      <c r="H7" s="12">
        <f t="shared" si="2"/>
        <v>0</v>
      </c>
    </row>
    <row r="8" spans="1:8" x14ac:dyDescent="0.35">
      <c r="A8" s="11" t="s">
        <v>134</v>
      </c>
      <c r="B8" s="11">
        <f>COUNTIF('Test Cases'!$B$6:$B$500,A8)</f>
        <v>5</v>
      </c>
      <c r="C8" s="11">
        <f>COUNTIFS('Test Cases'!$B$6:$B$500,$A8,'Test Cases'!$O$6:$O$500,"Pass")</f>
        <v>0</v>
      </c>
      <c r="D8" s="11">
        <f>COUNTIFS('Test Cases'!$B$6:$B$500,$A8,'Test Cases'!$O$6:$O$500,"Fail")</f>
        <v>0</v>
      </c>
      <c r="E8" s="11">
        <f>COUNTIFS('Test Cases'!$B$6:$B$500,$A8,'Test Cases'!$O$6:$O$500,"Blocked")</f>
        <v>0</v>
      </c>
      <c r="F8" s="11">
        <f t="shared" si="0"/>
        <v>5</v>
      </c>
      <c r="G8" s="12">
        <f t="shared" si="1"/>
        <v>0</v>
      </c>
      <c r="H8" s="12">
        <f t="shared" si="2"/>
        <v>0</v>
      </c>
    </row>
    <row r="9" spans="1:8" x14ac:dyDescent="0.35">
      <c r="A9" s="11" t="s">
        <v>176</v>
      </c>
      <c r="B9" s="11">
        <f>COUNTIF('Test Cases'!$B$6:$B$500,A9)</f>
        <v>3</v>
      </c>
      <c r="C9" s="11">
        <f>COUNTIFS('Test Cases'!$B$6:$B$500,$A9,'Test Cases'!$O$6:$O$500,"Pass")</f>
        <v>0</v>
      </c>
      <c r="D9" s="11">
        <f>COUNTIFS('Test Cases'!$B$6:$B$500,$A9,'Test Cases'!$O$6:$O$500,"Fail")</f>
        <v>0</v>
      </c>
      <c r="E9" s="11">
        <f>COUNTIFS('Test Cases'!$B$6:$B$500,$A9,'Test Cases'!$O$6:$O$500,"Blocked")</f>
        <v>0</v>
      </c>
      <c r="F9" s="11">
        <f t="shared" si="0"/>
        <v>3</v>
      </c>
      <c r="G9" s="12">
        <f t="shared" si="1"/>
        <v>0</v>
      </c>
      <c r="H9" s="12">
        <f t="shared" si="2"/>
        <v>0</v>
      </c>
    </row>
    <row r="10" spans="1:8" x14ac:dyDescent="0.35">
      <c r="A10" s="11" t="s">
        <v>206</v>
      </c>
      <c r="B10" s="11">
        <f>COUNTIF('Test Cases'!$B$6:$B$500,A10)</f>
        <v>2</v>
      </c>
      <c r="C10" s="11">
        <f>COUNTIFS('Test Cases'!$B$6:$B$500,$A10,'Test Cases'!$O$6:$O$500,"Pass")</f>
        <v>0</v>
      </c>
      <c r="D10" s="11">
        <f>COUNTIFS('Test Cases'!$B$6:$B$500,$A10,'Test Cases'!$O$6:$O$500,"Fail")</f>
        <v>0</v>
      </c>
      <c r="E10" s="11">
        <f>COUNTIFS('Test Cases'!$B$6:$B$500,$A10,'Test Cases'!$O$6:$O$500,"Blocked")</f>
        <v>0</v>
      </c>
      <c r="F10" s="11">
        <f t="shared" si="0"/>
        <v>2</v>
      </c>
      <c r="G10" s="12">
        <f t="shared" si="1"/>
        <v>0</v>
      </c>
      <c r="H10" s="12">
        <f t="shared" si="2"/>
        <v>0</v>
      </c>
    </row>
    <row r="11" spans="1:8" x14ac:dyDescent="0.35">
      <c r="A11" s="11" t="s">
        <v>227</v>
      </c>
      <c r="B11" s="11">
        <f>COUNTIF('Test Cases'!$B$6:$B$500,A11)</f>
        <v>3</v>
      </c>
      <c r="C11" s="11">
        <f>COUNTIFS('Test Cases'!$B$6:$B$500,$A11,'Test Cases'!$O$6:$O$500,"Pass")</f>
        <v>0</v>
      </c>
      <c r="D11" s="11">
        <f>COUNTIFS('Test Cases'!$B$6:$B$500,$A11,'Test Cases'!$O$6:$O$500,"Fail")</f>
        <v>0</v>
      </c>
      <c r="E11" s="11">
        <f>COUNTIFS('Test Cases'!$B$6:$B$500,$A11,'Test Cases'!$O$6:$O$500,"Blocked")</f>
        <v>0</v>
      </c>
      <c r="F11" s="11">
        <f t="shared" si="0"/>
        <v>3</v>
      </c>
      <c r="G11" s="12">
        <f t="shared" si="1"/>
        <v>0</v>
      </c>
      <c r="H11" s="12">
        <f t="shared" si="2"/>
        <v>0</v>
      </c>
    </row>
    <row r="12" spans="1:8" x14ac:dyDescent="0.35">
      <c r="A12" s="11" t="s">
        <v>254</v>
      </c>
      <c r="B12" s="11">
        <f>COUNTIF('Test Cases'!$B$6:$B$500,A12)</f>
        <v>2</v>
      </c>
      <c r="C12" s="11">
        <f>COUNTIFS('Test Cases'!$B$6:$B$500,$A12,'Test Cases'!$O$6:$O$500,"Pass")</f>
        <v>0</v>
      </c>
      <c r="D12" s="11">
        <f>COUNTIFS('Test Cases'!$B$6:$B$500,$A12,'Test Cases'!$O$6:$O$500,"Fail")</f>
        <v>0</v>
      </c>
      <c r="E12" s="11">
        <f>COUNTIFS('Test Cases'!$B$6:$B$500,$A12,'Test Cases'!$O$6:$O$500,"Blocked")</f>
        <v>0</v>
      </c>
      <c r="F12" s="11">
        <f t="shared" si="0"/>
        <v>2</v>
      </c>
      <c r="G12" s="12">
        <f t="shared" si="1"/>
        <v>0</v>
      </c>
      <c r="H12" s="12">
        <f t="shared" si="2"/>
        <v>0</v>
      </c>
    </row>
    <row r="13" spans="1:8" x14ac:dyDescent="0.35">
      <c r="A13" s="11" t="s">
        <v>272</v>
      </c>
      <c r="B13" s="11">
        <f>COUNTIF('Test Cases'!$B$6:$B$500,A13)</f>
        <v>2</v>
      </c>
      <c r="C13" s="11">
        <f>COUNTIFS('Test Cases'!$B$6:$B$500,$A13,'Test Cases'!$O$6:$O$500,"Pass")</f>
        <v>0</v>
      </c>
      <c r="D13" s="11">
        <f>COUNTIFS('Test Cases'!$B$6:$B$500,$A13,'Test Cases'!$O$6:$O$500,"Fail")</f>
        <v>0</v>
      </c>
      <c r="E13" s="11">
        <f>COUNTIFS('Test Cases'!$B$6:$B$500,$A13,'Test Cases'!$O$6:$O$500,"Blocked")</f>
        <v>0</v>
      </c>
      <c r="F13" s="11">
        <f t="shared" si="0"/>
        <v>2</v>
      </c>
      <c r="G13" s="12">
        <f t="shared" si="1"/>
        <v>0</v>
      </c>
      <c r="H13" s="12">
        <f t="shared" si="2"/>
        <v>0</v>
      </c>
    </row>
    <row r="14" spans="1:8" x14ac:dyDescent="0.35">
      <c r="A14" s="11" t="s">
        <v>293</v>
      </c>
      <c r="B14" s="11">
        <f>COUNTIF('Test Cases'!$B$6:$B$500,A14)</f>
        <v>2</v>
      </c>
      <c r="C14" s="11">
        <f>COUNTIFS('Test Cases'!$B$6:$B$500,$A14,'Test Cases'!$O$6:$O$500,"Pass")</f>
        <v>0</v>
      </c>
      <c r="D14" s="11">
        <f>COUNTIFS('Test Cases'!$B$6:$B$500,$A14,'Test Cases'!$O$6:$O$500,"Fail")</f>
        <v>0</v>
      </c>
      <c r="E14" s="11">
        <f>COUNTIFS('Test Cases'!$B$6:$B$500,$A14,'Test Cases'!$O$6:$O$500,"Blocked")</f>
        <v>0</v>
      </c>
      <c r="F14" s="11">
        <f t="shared" si="0"/>
        <v>2</v>
      </c>
      <c r="G14" s="12">
        <f t="shared" si="1"/>
        <v>0</v>
      </c>
      <c r="H14" s="12">
        <f t="shared" si="2"/>
        <v>0</v>
      </c>
    </row>
    <row r="15" spans="1:8" x14ac:dyDescent="0.35">
      <c r="A15" s="11" t="s">
        <v>310</v>
      </c>
      <c r="B15" s="11">
        <f>COUNTIF('Test Cases'!$B$6:$B$500,A15)</f>
        <v>4</v>
      </c>
      <c r="C15" s="11">
        <f>COUNTIFS('Test Cases'!$B$6:$B$500,$A15,'Test Cases'!$O$6:$O$500,"Pass")</f>
        <v>0</v>
      </c>
      <c r="D15" s="11">
        <f>COUNTIFS('Test Cases'!$B$6:$B$500,$A15,'Test Cases'!$O$6:$O$500,"Fail")</f>
        <v>0</v>
      </c>
      <c r="E15" s="11">
        <f>COUNTIFS('Test Cases'!$B$6:$B$500,$A15,'Test Cases'!$O$6:$O$500,"Blocked")</f>
        <v>0</v>
      </c>
      <c r="F15" s="11">
        <f t="shared" si="0"/>
        <v>4</v>
      </c>
      <c r="G15" s="12">
        <f t="shared" si="1"/>
        <v>0</v>
      </c>
      <c r="H15" s="12">
        <f t="shared" si="2"/>
        <v>0</v>
      </c>
    </row>
    <row r="16" spans="1:8" x14ac:dyDescent="0.35">
      <c r="A16" s="11" t="s">
        <v>343</v>
      </c>
      <c r="B16" s="11">
        <f>COUNTIF('Test Cases'!$B$6:$B$500,A16)</f>
        <v>1</v>
      </c>
      <c r="C16" s="11">
        <f>COUNTIFS('Test Cases'!$B$6:$B$500,$A16,'Test Cases'!$O$6:$O$500,"Pass")</f>
        <v>0</v>
      </c>
      <c r="D16" s="11">
        <f>COUNTIFS('Test Cases'!$B$6:$B$500,$A16,'Test Cases'!$O$6:$O$500,"Fail")</f>
        <v>0</v>
      </c>
      <c r="E16" s="11">
        <f>COUNTIFS('Test Cases'!$B$6:$B$500,$A16,'Test Cases'!$O$6:$O$500,"Blocked")</f>
        <v>0</v>
      </c>
      <c r="F16" s="11">
        <f t="shared" si="0"/>
        <v>1</v>
      </c>
      <c r="G16" s="12">
        <f t="shared" si="1"/>
        <v>0</v>
      </c>
      <c r="H16" s="12">
        <f t="shared" si="2"/>
        <v>0</v>
      </c>
    </row>
    <row r="17" spans="1:8" x14ac:dyDescent="0.35">
      <c r="A17" s="11" t="s">
        <v>354</v>
      </c>
      <c r="B17" s="11">
        <f>COUNTIF('Test Cases'!$B$6:$B$500,A17)</f>
        <v>7</v>
      </c>
      <c r="C17" s="11">
        <f>COUNTIFS('Test Cases'!$B$6:$B$500,$A17,'Test Cases'!$O$6:$O$500,"Pass")</f>
        <v>0</v>
      </c>
      <c r="D17" s="11">
        <f>COUNTIFS('Test Cases'!$B$6:$B$500,$A17,'Test Cases'!$O$6:$O$500,"Fail")</f>
        <v>0</v>
      </c>
      <c r="E17" s="11">
        <f>COUNTIFS('Test Cases'!$B$6:$B$500,$A17,'Test Cases'!$O$6:$O$500,"Blocked")</f>
        <v>0</v>
      </c>
      <c r="F17" s="11">
        <f t="shared" si="0"/>
        <v>7</v>
      </c>
      <c r="G17" s="12">
        <f t="shared" si="1"/>
        <v>0</v>
      </c>
      <c r="H17" s="12">
        <f t="shared" si="2"/>
        <v>0</v>
      </c>
    </row>
    <row r="18" spans="1:8" x14ac:dyDescent="0.35">
      <c r="A18" s="11" t="s">
        <v>411</v>
      </c>
      <c r="B18" s="11">
        <f>COUNTIF('Test Cases'!$B$6:$B$500,A18)</f>
        <v>2</v>
      </c>
      <c r="C18" s="11">
        <f>COUNTIFS('Test Cases'!$B$6:$B$500,$A18,'Test Cases'!$O$6:$O$500,"Pass")</f>
        <v>0</v>
      </c>
      <c r="D18" s="11">
        <f>COUNTIFS('Test Cases'!$B$6:$B$500,$A18,'Test Cases'!$O$6:$O$500,"Fail")</f>
        <v>0</v>
      </c>
      <c r="E18" s="11">
        <f>COUNTIFS('Test Cases'!$B$6:$B$500,$A18,'Test Cases'!$O$6:$O$500,"Blocked")</f>
        <v>0</v>
      </c>
      <c r="F18" s="11">
        <f t="shared" si="0"/>
        <v>2</v>
      </c>
      <c r="G18" s="12">
        <f t="shared" si="1"/>
        <v>0</v>
      </c>
      <c r="H18" s="12">
        <f t="shared" si="2"/>
        <v>0</v>
      </c>
    </row>
    <row r="19" spans="1:8" x14ac:dyDescent="0.35">
      <c r="A19" s="11" t="s">
        <v>427</v>
      </c>
      <c r="B19" s="11">
        <f>COUNTIF('Test Cases'!$B$6:$B$500,A19)</f>
        <v>4</v>
      </c>
      <c r="C19" s="11">
        <f>COUNTIFS('Test Cases'!$B$6:$B$500,$A19,'Test Cases'!$O$6:$O$500,"Pass")</f>
        <v>0</v>
      </c>
      <c r="D19" s="11">
        <f>COUNTIFS('Test Cases'!$B$6:$B$500,$A19,'Test Cases'!$O$6:$O$500,"Fail")</f>
        <v>0</v>
      </c>
      <c r="E19" s="11">
        <f>COUNTIFS('Test Cases'!$B$6:$B$500,$A19,'Test Cases'!$O$6:$O$500,"Blocked")</f>
        <v>0</v>
      </c>
      <c r="F19" s="11">
        <f t="shared" si="0"/>
        <v>4</v>
      </c>
      <c r="G19" s="12">
        <f t="shared" si="1"/>
        <v>0</v>
      </c>
      <c r="H19" s="12">
        <f t="shared" si="2"/>
        <v>0</v>
      </c>
    </row>
    <row r="20" spans="1:8" x14ac:dyDescent="0.35">
      <c r="A20" s="13" t="s">
        <v>464</v>
      </c>
      <c r="B20" s="13">
        <f>SUM(B6:B19)</f>
        <v>46</v>
      </c>
      <c r="C20" s="13">
        <f>SUM(C6:C19)</f>
        <v>0</v>
      </c>
      <c r="D20" s="13">
        <f>SUM(D6:D19)</f>
        <v>0</v>
      </c>
      <c r="E20" s="13">
        <f>SUM(E6:E19)</f>
        <v>0</v>
      </c>
      <c r="F20" s="13">
        <f>SUM(F6:F19)</f>
        <v>46</v>
      </c>
      <c r="G20" s="14">
        <f t="shared" si="1"/>
        <v>0</v>
      </c>
      <c r="H20" s="14">
        <f t="shared" si="2"/>
        <v>0</v>
      </c>
    </row>
    <row r="22" spans="1:8" ht="15.5" x14ac:dyDescent="0.35">
      <c r="A22" s="15" t="s">
        <v>470</v>
      </c>
    </row>
    <row r="23" spans="1:8" ht="30" customHeight="1" x14ac:dyDescent="0.35">
      <c r="A23" s="7" t="s">
        <v>31</v>
      </c>
      <c r="B23" s="7" t="s">
        <v>464</v>
      </c>
      <c r="C23" s="7" t="s">
        <v>465</v>
      </c>
      <c r="D23" s="7" t="s">
        <v>466</v>
      </c>
      <c r="E23" s="7" t="s">
        <v>467</v>
      </c>
      <c r="F23" s="7" t="s">
        <v>58</v>
      </c>
      <c r="G23" s="7" t="s">
        <v>468</v>
      </c>
      <c r="H23" s="7" t="s">
        <v>469</v>
      </c>
    </row>
    <row r="24" spans="1:8" x14ac:dyDescent="0.35">
      <c r="A24" s="11" t="s">
        <v>50</v>
      </c>
      <c r="B24" s="11">
        <f>COUNTIF('Test Cases'!$F$6:$F$500,A24)</f>
        <v>26</v>
      </c>
      <c r="C24" s="11">
        <f>COUNTIFS('Test Cases'!$F$6:$F$500,$A24,'Test Cases'!$O$6:$O$500,"Pass")</f>
        <v>0</v>
      </c>
      <c r="D24" s="11">
        <f>COUNTIFS('Test Cases'!$F$6:$F$500,$A24,'Test Cases'!$O$6:$O$500,"Fail")</f>
        <v>0</v>
      </c>
      <c r="E24" s="11">
        <f>COUNTIFS('Test Cases'!$F$6:$F$500,$A24,'Test Cases'!$O$6:$O$500,"Blocked")</f>
        <v>0</v>
      </c>
      <c r="F24" s="11">
        <f>B24-C24-D24-E24</f>
        <v>26</v>
      </c>
      <c r="G24" s="12">
        <f>IF(B24=0,0,(C24+D24+E24)/B24)</f>
        <v>0</v>
      </c>
      <c r="H24" s="12">
        <f>IF((C24+D24+E24)=0,0,C24/(C24+D24+E24))</f>
        <v>0</v>
      </c>
    </row>
    <row r="25" spans="1:8" x14ac:dyDescent="0.35">
      <c r="A25" s="11" t="s">
        <v>72</v>
      </c>
      <c r="B25" s="11">
        <f>COUNTIF('Test Cases'!$F$6:$F$500,A25)</f>
        <v>14</v>
      </c>
      <c r="C25" s="11">
        <f>COUNTIFS('Test Cases'!$F$6:$F$500,$A25,'Test Cases'!$O$6:$O$500,"Pass")</f>
        <v>0</v>
      </c>
      <c r="D25" s="11">
        <f>COUNTIFS('Test Cases'!$F$6:$F$500,$A25,'Test Cases'!$O$6:$O$500,"Fail")</f>
        <v>0</v>
      </c>
      <c r="E25" s="11">
        <f>COUNTIFS('Test Cases'!$F$6:$F$500,$A25,'Test Cases'!$O$6:$O$500,"Blocked")</f>
        <v>0</v>
      </c>
      <c r="F25" s="11">
        <f>B25-C25-D25-E25</f>
        <v>14</v>
      </c>
      <c r="G25" s="12">
        <f>IF(B25=0,0,(C25+D25+E25)/B25)</f>
        <v>0</v>
      </c>
      <c r="H25" s="12">
        <f>IF((C25+D25+E25)=0,0,C25/(C25+D25+E25))</f>
        <v>0</v>
      </c>
    </row>
    <row r="26" spans="1:8" x14ac:dyDescent="0.35">
      <c r="A26" s="11" t="s">
        <v>119</v>
      </c>
      <c r="B26" s="11">
        <f>COUNTIF('Test Cases'!$F$6:$F$500,A26)</f>
        <v>6</v>
      </c>
      <c r="C26" s="11">
        <f>COUNTIFS('Test Cases'!$F$6:$F$500,$A26,'Test Cases'!$O$6:$O$500,"Pass")</f>
        <v>0</v>
      </c>
      <c r="D26" s="11">
        <f>COUNTIFS('Test Cases'!$F$6:$F$500,$A26,'Test Cases'!$O$6:$O$500,"Fail")</f>
        <v>0</v>
      </c>
      <c r="E26" s="11">
        <f>COUNTIFS('Test Cases'!$F$6:$F$500,$A26,'Test Cases'!$O$6:$O$500,"Blocked")</f>
        <v>0</v>
      </c>
      <c r="F26" s="11">
        <f>B26-C26-D26-E26</f>
        <v>6</v>
      </c>
      <c r="G26" s="12">
        <f>IF(B26=0,0,(C26+D26+E26)/B26)</f>
        <v>0</v>
      </c>
      <c r="H26" s="12">
        <f>IF((C26+D26+E26)=0,0,C26/(C26+D26+E26))</f>
        <v>0</v>
      </c>
    </row>
    <row r="28" spans="1:8" ht="15.5" x14ac:dyDescent="0.35">
      <c r="A28" s="15" t="s">
        <v>471</v>
      </c>
    </row>
    <row r="29" spans="1:8" ht="30" customHeight="1" x14ac:dyDescent="0.35">
      <c r="A29" s="7" t="s">
        <v>472</v>
      </c>
      <c r="B29" s="7" t="s">
        <v>473</v>
      </c>
      <c r="C29" s="7" t="s">
        <v>474</v>
      </c>
    </row>
    <row r="30" spans="1:8" x14ac:dyDescent="0.35">
      <c r="A30" s="11" t="s">
        <v>475</v>
      </c>
      <c r="B30" s="11">
        <f>COUNTIFS('Defect Log'!$D$6:$D$1000,A30,'Defect Log'!$A$6:$A$1000,"&lt;&gt;DEF-000")</f>
        <v>0</v>
      </c>
      <c r="C30" s="11">
        <f>COUNTIFS('Defect Log'!$D$6:$D$1000,A30,'Defect Log'!$L$6:$L$1000,"&lt;&gt;Closed",'Defect Log'!$L$6:$L$1000,"&lt;&gt;Won't fix",'Defect Log'!$A$6:$A$1000,"&lt;&gt;DEF-000")</f>
        <v>0</v>
      </c>
    </row>
    <row r="31" spans="1:8" x14ac:dyDescent="0.35">
      <c r="A31" s="11" t="s">
        <v>50</v>
      </c>
      <c r="B31" s="11">
        <f>COUNTIFS('Defect Log'!$D$6:$D$1000,A31,'Defect Log'!$A$6:$A$1000,"&lt;&gt;DEF-000")</f>
        <v>0</v>
      </c>
      <c r="C31" s="11">
        <f>COUNTIFS('Defect Log'!$D$6:$D$1000,A31,'Defect Log'!$L$6:$L$1000,"&lt;&gt;Closed",'Defect Log'!$L$6:$L$1000,"&lt;&gt;Won't fix",'Defect Log'!$A$6:$A$1000,"&lt;&gt;DEF-000")</f>
        <v>0</v>
      </c>
    </row>
    <row r="32" spans="1:8" x14ac:dyDescent="0.35">
      <c r="A32" s="11" t="s">
        <v>72</v>
      </c>
      <c r="B32" s="11">
        <f>COUNTIFS('Defect Log'!$D$6:$D$1000,A32,'Defect Log'!$A$6:$A$1000,"&lt;&gt;DEF-000")</f>
        <v>0</v>
      </c>
      <c r="C32" s="11">
        <f>COUNTIFS('Defect Log'!$D$6:$D$1000,A32,'Defect Log'!$L$6:$L$1000,"&lt;&gt;Closed",'Defect Log'!$L$6:$L$1000,"&lt;&gt;Won't fix",'Defect Log'!$A$6:$A$1000,"&lt;&gt;DEF-000")</f>
        <v>0</v>
      </c>
    </row>
    <row r="33" spans="1:3" x14ac:dyDescent="0.35">
      <c r="A33" s="11" t="s">
        <v>119</v>
      </c>
      <c r="B33" s="11">
        <f>COUNTIFS('Defect Log'!$D$6:$D$1000,A33,'Defect Log'!$A$6:$A$1000,"&lt;&gt;DEF-000")</f>
        <v>0</v>
      </c>
      <c r="C33" s="11">
        <f>COUNTIFS('Defect Log'!$D$6:$D$1000,A33,'Defect Log'!$L$6:$L$1000,"&lt;&gt;Closed",'Defect Log'!$L$6:$L$1000,"&lt;&gt;Won't fix",'Defect Log'!$A$6:$A$1000,"&lt;&gt;DEF-000")</f>
        <v>0</v>
      </c>
    </row>
    <row r="35" spans="1:3" x14ac:dyDescent="0.35">
      <c r="A35" s="4" t="s">
        <v>476</v>
      </c>
      <c r="B35" s="4" t="str">
        <f>IF(AND(C30+C31=0,COUNTIFS('Test Cases'!$F$6:$F$500,"High",'Test Cases'!$O$6:$O$500,"Not run")=0),"Yes","No")</f>
        <v>No</v>
      </c>
    </row>
    <row r="36" spans="1:3" x14ac:dyDescent="0.35">
      <c r="A36" s="16" t="s">
        <v>477</v>
      </c>
    </row>
  </sheetData>
  <pageMargins left="0.75" right="0.75" top="1" bottom="1" header="0.5" footer="0.5"/>
  <pageSetup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BFBFBF"/>
    <pageSetUpPr fitToPage="1"/>
  </sheetPr>
  <dimension ref="A1:M55"/>
  <sheetViews>
    <sheetView showGridLines="0" workbookViewId="0">
      <pane xSplit="2" ySplit="5" topLeftCell="C6" activePane="bottomRight" state="frozen"/>
      <selection pane="topRight"/>
      <selection pane="bottomLeft"/>
      <selection pane="bottomRight"/>
    </sheetView>
  </sheetViews>
  <sheetFormatPr defaultRowHeight="14.5" x14ac:dyDescent="0.35"/>
  <cols>
    <col min="1" max="1" width="11" customWidth="1"/>
    <col min="2" max="2" width="13" customWidth="1"/>
    <col min="3" max="3" width="34" customWidth="1"/>
    <col min="4" max="4" width="10" customWidth="1"/>
    <col min="5" max="5" width="44" customWidth="1"/>
    <col min="6" max="7" width="32" customWidth="1"/>
    <col min="8" max="8" width="18" customWidth="1"/>
    <col min="9" max="9" width="14" customWidth="1"/>
    <col min="10" max="10" width="13" customWidth="1"/>
    <col min="11" max="11" width="14" customWidth="1"/>
    <col min="12" max="12" width="12" customWidth="1"/>
    <col min="13" max="13" width="32" customWidth="1"/>
  </cols>
  <sheetData>
    <row r="1" spans="1:13" x14ac:dyDescent="0.35">
      <c r="A1" s="1" t="s">
        <v>0</v>
      </c>
    </row>
    <row r="2" spans="1:13" ht="20" x14ac:dyDescent="0.4">
      <c r="A2" s="2" t="s">
        <v>478</v>
      </c>
    </row>
    <row r="3" spans="1:13" x14ac:dyDescent="0.35">
      <c r="A3" s="3" t="s">
        <v>479</v>
      </c>
    </row>
    <row r="5" spans="1:13" ht="30" customHeight="1" x14ac:dyDescent="0.35">
      <c r="A5" s="7" t="s">
        <v>41</v>
      </c>
      <c r="B5" s="7" t="s">
        <v>480</v>
      </c>
      <c r="C5" s="7" t="s">
        <v>481</v>
      </c>
      <c r="D5" s="7" t="s">
        <v>472</v>
      </c>
      <c r="E5" s="7" t="s">
        <v>482</v>
      </c>
      <c r="F5" s="7" t="s">
        <v>483</v>
      </c>
      <c r="G5" s="7" t="s">
        <v>484</v>
      </c>
      <c r="H5" s="7" t="s">
        <v>485</v>
      </c>
      <c r="I5" s="7" t="s">
        <v>486</v>
      </c>
      <c r="J5" s="7" t="s">
        <v>487</v>
      </c>
      <c r="K5" s="7" t="s">
        <v>488</v>
      </c>
      <c r="L5" s="7" t="s">
        <v>40</v>
      </c>
      <c r="M5" s="7" t="s">
        <v>489</v>
      </c>
    </row>
    <row r="6" spans="1:13" ht="39" x14ac:dyDescent="0.35">
      <c r="A6" s="17" t="s">
        <v>490</v>
      </c>
      <c r="B6" s="17" t="s">
        <v>216</v>
      </c>
      <c r="C6" s="17" t="s">
        <v>491</v>
      </c>
      <c r="D6" s="17" t="s">
        <v>119</v>
      </c>
      <c r="E6" s="17" t="s">
        <v>492</v>
      </c>
      <c r="F6" s="17" t="s">
        <v>493</v>
      </c>
      <c r="G6" s="17" t="s">
        <v>494</v>
      </c>
      <c r="H6" s="17" t="s">
        <v>495</v>
      </c>
      <c r="I6" s="17" t="s">
        <v>496</v>
      </c>
      <c r="J6" s="18"/>
      <c r="K6" s="17" t="s">
        <v>497</v>
      </c>
      <c r="L6" s="17" t="s">
        <v>498</v>
      </c>
      <c r="M6" s="17" t="s">
        <v>499</v>
      </c>
    </row>
    <row r="7" spans="1:13" x14ac:dyDescent="0.35">
      <c r="A7" s="9"/>
      <c r="B7" s="9"/>
      <c r="C7" s="9"/>
      <c r="D7" s="9"/>
      <c r="E7" s="9"/>
      <c r="F7" s="9"/>
      <c r="G7" s="9"/>
      <c r="H7" s="9"/>
      <c r="I7" s="9"/>
      <c r="J7" s="19"/>
      <c r="K7" s="9"/>
      <c r="L7" s="9"/>
      <c r="M7" s="9"/>
    </row>
    <row r="8" spans="1:13" x14ac:dyDescent="0.35">
      <c r="A8" s="9"/>
      <c r="B8" s="9"/>
      <c r="C8" s="9"/>
      <c r="D8" s="9"/>
      <c r="E8" s="9"/>
      <c r="F8" s="9"/>
      <c r="G8" s="9"/>
      <c r="H8" s="9"/>
      <c r="I8" s="9"/>
      <c r="J8" s="19"/>
      <c r="K8" s="9"/>
      <c r="L8" s="9"/>
      <c r="M8" s="9"/>
    </row>
    <row r="9" spans="1:13" x14ac:dyDescent="0.35">
      <c r="A9" s="9"/>
      <c r="B9" s="9"/>
      <c r="C9" s="9"/>
      <c r="D9" s="9"/>
      <c r="E9" s="9"/>
      <c r="F9" s="9"/>
      <c r="G9" s="9"/>
      <c r="H9" s="9"/>
      <c r="I9" s="9"/>
      <c r="J9" s="19"/>
      <c r="K9" s="9"/>
      <c r="L9" s="9"/>
      <c r="M9" s="9"/>
    </row>
    <row r="10" spans="1:13" x14ac:dyDescent="0.35">
      <c r="A10" s="9"/>
      <c r="B10" s="9"/>
      <c r="C10" s="9"/>
      <c r="D10" s="9"/>
      <c r="E10" s="9"/>
      <c r="F10" s="9"/>
      <c r="G10" s="9"/>
      <c r="H10" s="9"/>
      <c r="I10" s="9"/>
      <c r="J10" s="19"/>
      <c r="K10" s="9"/>
      <c r="L10" s="9"/>
      <c r="M10" s="9"/>
    </row>
    <row r="11" spans="1:13" x14ac:dyDescent="0.35">
      <c r="A11" s="9"/>
      <c r="B11" s="9"/>
      <c r="C11" s="9"/>
      <c r="D11" s="9"/>
      <c r="E11" s="9"/>
      <c r="F11" s="9"/>
      <c r="G11" s="9"/>
      <c r="H11" s="9"/>
      <c r="I11" s="9"/>
      <c r="J11" s="19"/>
      <c r="K11" s="9"/>
      <c r="L11" s="9"/>
      <c r="M11" s="9"/>
    </row>
    <row r="12" spans="1:13" x14ac:dyDescent="0.35">
      <c r="A12" s="9"/>
      <c r="B12" s="9"/>
      <c r="C12" s="9"/>
      <c r="D12" s="9"/>
      <c r="E12" s="9"/>
      <c r="F12" s="9"/>
      <c r="G12" s="9"/>
      <c r="H12" s="9"/>
      <c r="I12" s="9"/>
      <c r="J12" s="19"/>
      <c r="K12" s="9"/>
      <c r="L12" s="9"/>
      <c r="M12" s="9"/>
    </row>
    <row r="13" spans="1:13" x14ac:dyDescent="0.35">
      <c r="A13" s="9"/>
      <c r="B13" s="9"/>
      <c r="C13" s="9"/>
      <c r="D13" s="9"/>
      <c r="E13" s="9"/>
      <c r="F13" s="9"/>
      <c r="G13" s="9"/>
      <c r="H13" s="9"/>
      <c r="I13" s="9"/>
      <c r="J13" s="19"/>
      <c r="K13" s="9"/>
      <c r="L13" s="9"/>
      <c r="M13" s="9"/>
    </row>
    <row r="14" spans="1:13" x14ac:dyDescent="0.35">
      <c r="A14" s="9"/>
      <c r="B14" s="9"/>
      <c r="C14" s="9"/>
      <c r="D14" s="9"/>
      <c r="E14" s="9"/>
      <c r="F14" s="9"/>
      <c r="G14" s="9"/>
      <c r="H14" s="9"/>
      <c r="I14" s="9"/>
      <c r="J14" s="19"/>
      <c r="K14" s="9"/>
      <c r="L14" s="9"/>
      <c r="M14" s="9"/>
    </row>
    <row r="15" spans="1:13" x14ac:dyDescent="0.35">
      <c r="A15" s="9"/>
      <c r="B15" s="9"/>
      <c r="C15" s="9"/>
      <c r="D15" s="9"/>
      <c r="E15" s="9"/>
      <c r="F15" s="9"/>
      <c r="G15" s="9"/>
      <c r="H15" s="9"/>
      <c r="I15" s="9"/>
      <c r="J15" s="19"/>
      <c r="K15" s="9"/>
      <c r="L15" s="9"/>
      <c r="M15" s="9"/>
    </row>
    <row r="16" spans="1:13" x14ac:dyDescent="0.35">
      <c r="A16" s="9"/>
      <c r="B16" s="9"/>
      <c r="C16" s="9"/>
      <c r="D16" s="9"/>
      <c r="E16" s="9"/>
      <c r="F16" s="9"/>
      <c r="G16" s="9"/>
      <c r="H16" s="9"/>
      <c r="I16" s="9"/>
      <c r="J16" s="19"/>
      <c r="K16" s="9"/>
      <c r="L16" s="9"/>
      <c r="M16" s="9"/>
    </row>
    <row r="17" spans="1:13" x14ac:dyDescent="0.35">
      <c r="A17" s="9"/>
      <c r="B17" s="9"/>
      <c r="C17" s="9"/>
      <c r="D17" s="9"/>
      <c r="E17" s="9"/>
      <c r="F17" s="9"/>
      <c r="G17" s="9"/>
      <c r="H17" s="9"/>
      <c r="I17" s="9"/>
      <c r="J17" s="19"/>
      <c r="K17" s="9"/>
      <c r="L17" s="9"/>
      <c r="M17" s="9"/>
    </row>
    <row r="18" spans="1:13" x14ac:dyDescent="0.35">
      <c r="A18" s="9"/>
      <c r="B18" s="9"/>
      <c r="C18" s="9"/>
      <c r="D18" s="9"/>
      <c r="E18" s="9"/>
      <c r="F18" s="9"/>
      <c r="G18" s="9"/>
      <c r="H18" s="9"/>
      <c r="I18" s="9"/>
      <c r="J18" s="19"/>
      <c r="K18" s="9"/>
      <c r="L18" s="9"/>
      <c r="M18" s="9"/>
    </row>
    <row r="19" spans="1:13" x14ac:dyDescent="0.35">
      <c r="A19" s="9"/>
      <c r="B19" s="9"/>
      <c r="C19" s="9"/>
      <c r="D19" s="9"/>
      <c r="E19" s="9"/>
      <c r="F19" s="9"/>
      <c r="G19" s="9"/>
      <c r="H19" s="9"/>
      <c r="I19" s="9"/>
      <c r="J19" s="19"/>
      <c r="K19" s="9"/>
      <c r="L19" s="9"/>
      <c r="M19" s="9"/>
    </row>
    <row r="20" spans="1:13" x14ac:dyDescent="0.35">
      <c r="A20" s="9"/>
      <c r="B20" s="9"/>
      <c r="C20" s="9"/>
      <c r="D20" s="9"/>
      <c r="E20" s="9"/>
      <c r="F20" s="9"/>
      <c r="G20" s="9"/>
      <c r="H20" s="9"/>
      <c r="I20" s="9"/>
      <c r="J20" s="19"/>
      <c r="K20" s="9"/>
      <c r="L20" s="9"/>
      <c r="M20" s="9"/>
    </row>
    <row r="21" spans="1:13" x14ac:dyDescent="0.35">
      <c r="A21" s="9"/>
      <c r="B21" s="9"/>
      <c r="C21" s="9"/>
      <c r="D21" s="9"/>
      <c r="E21" s="9"/>
      <c r="F21" s="9"/>
      <c r="G21" s="9"/>
      <c r="H21" s="9"/>
      <c r="I21" s="9"/>
      <c r="J21" s="19"/>
      <c r="K21" s="9"/>
      <c r="L21" s="9"/>
      <c r="M21" s="9"/>
    </row>
    <row r="22" spans="1:13" x14ac:dyDescent="0.35">
      <c r="A22" s="9"/>
      <c r="B22" s="9"/>
      <c r="C22" s="9"/>
      <c r="D22" s="9"/>
      <c r="E22" s="9"/>
      <c r="F22" s="9"/>
      <c r="G22" s="9"/>
      <c r="H22" s="9"/>
      <c r="I22" s="9"/>
      <c r="J22" s="19"/>
      <c r="K22" s="9"/>
      <c r="L22" s="9"/>
      <c r="M22" s="9"/>
    </row>
    <row r="23" spans="1:13" x14ac:dyDescent="0.35">
      <c r="A23" s="9"/>
      <c r="B23" s="9"/>
      <c r="C23" s="9"/>
      <c r="D23" s="9"/>
      <c r="E23" s="9"/>
      <c r="F23" s="9"/>
      <c r="G23" s="9"/>
      <c r="H23" s="9"/>
      <c r="I23" s="9"/>
      <c r="J23" s="19"/>
      <c r="K23" s="9"/>
      <c r="L23" s="9"/>
      <c r="M23" s="9"/>
    </row>
    <row r="24" spans="1:13" x14ac:dyDescent="0.35">
      <c r="A24" s="9"/>
      <c r="B24" s="9"/>
      <c r="C24" s="9"/>
      <c r="D24" s="9"/>
      <c r="E24" s="9"/>
      <c r="F24" s="9"/>
      <c r="G24" s="9"/>
      <c r="H24" s="9"/>
      <c r="I24" s="9"/>
      <c r="J24" s="19"/>
      <c r="K24" s="9"/>
      <c r="L24" s="9"/>
      <c r="M24" s="9"/>
    </row>
    <row r="25" spans="1:13" x14ac:dyDescent="0.35">
      <c r="A25" s="9"/>
      <c r="B25" s="9"/>
      <c r="C25" s="9"/>
      <c r="D25" s="9"/>
      <c r="E25" s="9"/>
      <c r="F25" s="9"/>
      <c r="G25" s="9"/>
      <c r="H25" s="9"/>
      <c r="I25" s="9"/>
      <c r="J25" s="19"/>
      <c r="K25" s="9"/>
      <c r="L25" s="9"/>
      <c r="M25" s="9"/>
    </row>
    <row r="26" spans="1:13" x14ac:dyDescent="0.35">
      <c r="A26" s="9"/>
      <c r="B26" s="9"/>
      <c r="C26" s="9"/>
      <c r="D26" s="9"/>
      <c r="E26" s="9"/>
      <c r="F26" s="9"/>
      <c r="G26" s="9"/>
      <c r="H26" s="9"/>
      <c r="I26" s="9"/>
      <c r="J26" s="19"/>
      <c r="K26" s="9"/>
      <c r="L26" s="9"/>
      <c r="M26" s="9"/>
    </row>
    <row r="27" spans="1:13" x14ac:dyDescent="0.35">
      <c r="A27" s="9"/>
      <c r="B27" s="9"/>
      <c r="C27" s="9"/>
      <c r="D27" s="9"/>
      <c r="E27" s="9"/>
      <c r="F27" s="9"/>
      <c r="G27" s="9"/>
      <c r="H27" s="9"/>
      <c r="I27" s="9"/>
      <c r="J27" s="19"/>
      <c r="K27" s="9"/>
      <c r="L27" s="9"/>
      <c r="M27" s="9"/>
    </row>
    <row r="28" spans="1:13" x14ac:dyDescent="0.35">
      <c r="A28" s="9"/>
      <c r="B28" s="9"/>
      <c r="C28" s="9"/>
      <c r="D28" s="9"/>
      <c r="E28" s="9"/>
      <c r="F28" s="9"/>
      <c r="G28" s="9"/>
      <c r="H28" s="9"/>
      <c r="I28" s="9"/>
      <c r="J28" s="19"/>
      <c r="K28" s="9"/>
      <c r="L28" s="9"/>
      <c r="M28" s="9"/>
    </row>
    <row r="29" spans="1:13" x14ac:dyDescent="0.35">
      <c r="A29" s="9"/>
      <c r="B29" s="9"/>
      <c r="C29" s="9"/>
      <c r="D29" s="9"/>
      <c r="E29" s="9"/>
      <c r="F29" s="9"/>
      <c r="G29" s="9"/>
      <c r="H29" s="9"/>
      <c r="I29" s="9"/>
      <c r="J29" s="19"/>
      <c r="K29" s="9"/>
      <c r="L29" s="9"/>
      <c r="M29" s="9"/>
    </row>
    <row r="30" spans="1:13" x14ac:dyDescent="0.35">
      <c r="A30" s="9"/>
      <c r="B30" s="9"/>
      <c r="C30" s="9"/>
      <c r="D30" s="9"/>
      <c r="E30" s="9"/>
      <c r="F30" s="9"/>
      <c r="G30" s="9"/>
      <c r="H30" s="9"/>
      <c r="I30" s="9"/>
      <c r="J30" s="19"/>
      <c r="K30" s="9"/>
      <c r="L30" s="9"/>
      <c r="M30" s="9"/>
    </row>
    <row r="31" spans="1:13" x14ac:dyDescent="0.35">
      <c r="A31" s="9"/>
      <c r="B31" s="9"/>
      <c r="C31" s="9"/>
      <c r="D31" s="9"/>
      <c r="E31" s="9"/>
      <c r="F31" s="9"/>
      <c r="G31" s="9"/>
      <c r="H31" s="9"/>
      <c r="I31" s="9"/>
      <c r="J31" s="19"/>
      <c r="K31" s="9"/>
      <c r="L31" s="9"/>
      <c r="M31" s="9"/>
    </row>
    <row r="32" spans="1:13" x14ac:dyDescent="0.35">
      <c r="A32" s="9"/>
      <c r="B32" s="9"/>
      <c r="C32" s="9"/>
      <c r="D32" s="9"/>
      <c r="E32" s="9"/>
      <c r="F32" s="9"/>
      <c r="G32" s="9"/>
      <c r="H32" s="9"/>
      <c r="I32" s="9"/>
      <c r="J32" s="19"/>
      <c r="K32" s="9"/>
      <c r="L32" s="9"/>
      <c r="M32" s="9"/>
    </row>
    <row r="33" spans="1:13" x14ac:dyDescent="0.35">
      <c r="A33" s="9"/>
      <c r="B33" s="9"/>
      <c r="C33" s="9"/>
      <c r="D33" s="9"/>
      <c r="E33" s="9"/>
      <c r="F33" s="9"/>
      <c r="G33" s="9"/>
      <c r="H33" s="9"/>
      <c r="I33" s="9"/>
      <c r="J33" s="19"/>
      <c r="K33" s="9"/>
      <c r="L33" s="9"/>
      <c r="M33" s="9"/>
    </row>
    <row r="34" spans="1:13" x14ac:dyDescent="0.35">
      <c r="A34" s="9"/>
      <c r="B34" s="9"/>
      <c r="C34" s="9"/>
      <c r="D34" s="9"/>
      <c r="E34" s="9"/>
      <c r="F34" s="9"/>
      <c r="G34" s="9"/>
      <c r="H34" s="9"/>
      <c r="I34" s="9"/>
      <c r="J34" s="19"/>
      <c r="K34" s="9"/>
      <c r="L34" s="9"/>
      <c r="M34" s="9"/>
    </row>
    <row r="35" spans="1:13" x14ac:dyDescent="0.35">
      <c r="A35" s="9"/>
      <c r="B35" s="9"/>
      <c r="C35" s="9"/>
      <c r="D35" s="9"/>
      <c r="E35" s="9"/>
      <c r="F35" s="9"/>
      <c r="G35" s="9"/>
      <c r="H35" s="9"/>
      <c r="I35" s="9"/>
      <c r="J35" s="19"/>
      <c r="K35" s="9"/>
      <c r="L35" s="9"/>
      <c r="M35" s="9"/>
    </row>
    <row r="36" spans="1:13" x14ac:dyDescent="0.35">
      <c r="A36" s="9"/>
      <c r="B36" s="9"/>
      <c r="C36" s="9"/>
      <c r="D36" s="9"/>
      <c r="E36" s="9"/>
      <c r="F36" s="9"/>
      <c r="G36" s="9"/>
      <c r="H36" s="9"/>
      <c r="I36" s="9"/>
      <c r="J36" s="19"/>
      <c r="K36" s="9"/>
      <c r="L36" s="9"/>
      <c r="M36" s="9"/>
    </row>
    <row r="37" spans="1:13" x14ac:dyDescent="0.35">
      <c r="A37" s="9"/>
      <c r="B37" s="9"/>
      <c r="C37" s="9"/>
      <c r="D37" s="9"/>
      <c r="E37" s="9"/>
      <c r="F37" s="9"/>
      <c r="G37" s="9"/>
      <c r="H37" s="9"/>
      <c r="I37" s="9"/>
      <c r="J37" s="19"/>
      <c r="K37" s="9"/>
      <c r="L37" s="9"/>
      <c r="M37" s="9"/>
    </row>
    <row r="38" spans="1:13" x14ac:dyDescent="0.35">
      <c r="A38" s="9"/>
      <c r="B38" s="9"/>
      <c r="C38" s="9"/>
      <c r="D38" s="9"/>
      <c r="E38" s="9"/>
      <c r="F38" s="9"/>
      <c r="G38" s="9"/>
      <c r="H38" s="9"/>
      <c r="I38" s="9"/>
      <c r="J38" s="19"/>
      <c r="K38" s="9"/>
      <c r="L38" s="9"/>
      <c r="M38" s="9"/>
    </row>
    <row r="39" spans="1:13" x14ac:dyDescent="0.35">
      <c r="A39" s="9"/>
      <c r="B39" s="9"/>
      <c r="C39" s="9"/>
      <c r="D39" s="9"/>
      <c r="E39" s="9"/>
      <c r="F39" s="9"/>
      <c r="G39" s="9"/>
      <c r="H39" s="9"/>
      <c r="I39" s="9"/>
      <c r="J39" s="19"/>
      <c r="K39" s="9"/>
      <c r="L39" s="9"/>
      <c r="M39" s="9"/>
    </row>
    <row r="40" spans="1:13" x14ac:dyDescent="0.35">
      <c r="A40" s="9"/>
      <c r="B40" s="9"/>
      <c r="C40" s="9"/>
      <c r="D40" s="9"/>
      <c r="E40" s="9"/>
      <c r="F40" s="9"/>
      <c r="G40" s="9"/>
      <c r="H40" s="9"/>
      <c r="I40" s="9"/>
      <c r="J40" s="19"/>
      <c r="K40" s="9"/>
      <c r="L40" s="9"/>
      <c r="M40" s="9"/>
    </row>
    <row r="41" spans="1:13" x14ac:dyDescent="0.35">
      <c r="A41" s="9"/>
      <c r="B41" s="9"/>
      <c r="C41" s="9"/>
      <c r="D41" s="9"/>
      <c r="E41" s="9"/>
      <c r="F41" s="9"/>
      <c r="G41" s="9"/>
      <c r="H41" s="9"/>
      <c r="I41" s="9"/>
      <c r="J41" s="19"/>
      <c r="K41" s="9"/>
      <c r="L41" s="9"/>
      <c r="M41" s="9"/>
    </row>
    <row r="42" spans="1:13" x14ac:dyDescent="0.35">
      <c r="A42" s="9"/>
      <c r="B42" s="9"/>
      <c r="C42" s="9"/>
      <c r="D42" s="9"/>
      <c r="E42" s="9"/>
      <c r="F42" s="9"/>
      <c r="G42" s="9"/>
      <c r="H42" s="9"/>
      <c r="I42" s="9"/>
      <c r="J42" s="19"/>
      <c r="K42" s="9"/>
      <c r="L42" s="9"/>
      <c r="M42" s="9"/>
    </row>
    <row r="43" spans="1:13" x14ac:dyDescent="0.35">
      <c r="A43" s="9"/>
      <c r="B43" s="9"/>
      <c r="C43" s="9"/>
      <c r="D43" s="9"/>
      <c r="E43" s="9"/>
      <c r="F43" s="9"/>
      <c r="G43" s="9"/>
      <c r="H43" s="9"/>
      <c r="I43" s="9"/>
      <c r="J43" s="19"/>
      <c r="K43" s="9"/>
      <c r="L43" s="9"/>
      <c r="M43" s="9"/>
    </row>
    <row r="44" spans="1:13" x14ac:dyDescent="0.35">
      <c r="A44" s="9"/>
      <c r="B44" s="9"/>
      <c r="C44" s="9"/>
      <c r="D44" s="9"/>
      <c r="E44" s="9"/>
      <c r="F44" s="9"/>
      <c r="G44" s="9"/>
      <c r="H44" s="9"/>
      <c r="I44" s="9"/>
      <c r="J44" s="19"/>
      <c r="K44" s="9"/>
      <c r="L44" s="9"/>
      <c r="M44" s="9"/>
    </row>
    <row r="45" spans="1:13" x14ac:dyDescent="0.35">
      <c r="A45" s="9"/>
      <c r="B45" s="9"/>
      <c r="C45" s="9"/>
      <c r="D45" s="9"/>
      <c r="E45" s="9"/>
      <c r="F45" s="9"/>
      <c r="G45" s="9"/>
      <c r="H45" s="9"/>
      <c r="I45" s="9"/>
      <c r="J45" s="19"/>
      <c r="K45" s="9"/>
      <c r="L45" s="9"/>
      <c r="M45" s="9"/>
    </row>
    <row r="46" spans="1:13" x14ac:dyDescent="0.35">
      <c r="A46" s="9"/>
      <c r="B46" s="9"/>
      <c r="C46" s="9"/>
      <c r="D46" s="9"/>
      <c r="E46" s="9"/>
      <c r="F46" s="9"/>
      <c r="G46" s="9"/>
      <c r="H46" s="9"/>
      <c r="I46" s="9"/>
      <c r="J46" s="19"/>
      <c r="K46" s="9"/>
      <c r="L46" s="9"/>
      <c r="M46" s="9"/>
    </row>
    <row r="47" spans="1:13" x14ac:dyDescent="0.35">
      <c r="A47" s="9"/>
      <c r="B47" s="9"/>
      <c r="C47" s="9"/>
      <c r="D47" s="9"/>
      <c r="E47" s="9"/>
      <c r="F47" s="9"/>
      <c r="G47" s="9"/>
      <c r="H47" s="9"/>
      <c r="I47" s="9"/>
      <c r="J47" s="19"/>
      <c r="K47" s="9"/>
      <c r="L47" s="9"/>
      <c r="M47" s="9"/>
    </row>
    <row r="48" spans="1:13" x14ac:dyDescent="0.35">
      <c r="A48" s="9"/>
      <c r="B48" s="9"/>
      <c r="C48" s="9"/>
      <c r="D48" s="9"/>
      <c r="E48" s="9"/>
      <c r="F48" s="9"/>
      <c r="G48" s="9"/>
      <c r="H48" s="9"/>
      <c r="I48" s="9"/>
      <c r="J48" s="19"/>
      <c r="K48" s="9"/>
      <c r="L48" s="9"/>
      <c r="M48" s="9"/>
    </row>
    <row r="49" spans="1:13" x14ac:dyDescent="0.35">
      <c r="A49" s="9"/>
      <c r="B49" s="9"/>
      <c r="C49" s="9"/>
      <c r="D49" s="9"/>
      <c r="E49" s="9"/>
      <c r="F49" s="9"/>
      <c r="G49" s="9"/>
      <c r="H49" s="9"/>
      <c r="I49" s="9"/>
      <c r="J49" s="19"/>
      <c r="K49" s="9"/>
      <c r="L49" s="9"/>
      <c r="M49" s="9"/>
    </row>
    <row r="50" spans="1:13" x14ac:dyDescent="0.35">
      <c r="A50" s="9"/>
      <c r="B50" s="9"/>
      <c r="C50" s="9"/>
      <c r="D50" s="9"/>
      <c r="E50" s="9"/>
      <c r="F50" s="9"/>
      <c r="G50" s="9"/>
      <c r="H50" s="9"/>
      <c r="I50" s="9"/>
      <c r="J50" s="19"/>
      <c r="K50" s="9"/>
      <c r="L50" s="9"/>
      <c r="M50" s="9"/>
    </row>
    <row r="51" spans="1:13" x14ac:dyDescent="0.35">
      <c r="A51" s="9"/>
      <c r="B51" s="9"/>
      <c r="C51" s="9"/>
      <c r="D51" s="9"/>
      <c r="E51" s="9"/>
      <c r="F51" s="9"/>
      <c r="G51" s="9"/>
      <c r="H51" s="9"/>
      <c r="I51" s="9"/>
      <c r="J51" s="19"/>
      <c r="K51" s="9"/>
      <c r="L51" s="9"/>
      <c r="M51" s="9"/>
    </row>
    <row r="52" spans="1:13" x14ac:dyDescent="0.35">
      <c r="A52" s="9"/>
      <c r="B52" s="9"/>
      <c r="C52" s="9"/>
      <c r="D52" s="9"/>
      <c r="E52" s="9"/>
      <c r="F52" s="9"/>
      <c r="G52" s="9"/>
      <c r="H52" s="9"/>
      <c r="I52" s="9"/>
      <c r="J52" s="19"/>
      <c r="K52" s="9"/>
      <c r="L52" s="9"/>
      <c r="M52" s="9"/>
    </row>
    <row r="53" spans="1:13" x14ac:dyDescent="0.35">
      <c r="A53" s="9"/>
      <c r="B53" s="9"/>
      <c r="C53" s="9"/>
      <c r="D53" s="9"/>
      <c r="E53" s="9"/>
      <c r="F53" s="9"/>
      <c r="G53" s="9"/>
      <c r="H53" s="9"/>
      <c r="I53" s="9"/>
      <c r="J53" s="19"/>
      <c r="K53" s="9"/>
      <c r="L53" s="9"/>
      <c r="M53" s="9"/>
    </row>
    <row r="54" spans="1:13" x14ac:dyDescent="0.35">
      <c r="A54" s="9"/>
      <c r="B54" s="9"/>
      <c r="C54" s="9"/>
      <c r="D54" s="9"/>
      <c r="E54" s="9"/>
      <c r="F54" s="9"/>
      <c r="G54" s="9"/>
      <c r="H54" s="9"/>
      <c r="I54" s="9"/>
      <c r="J54" s="19"/>
      <c r="K54" s="9"/>
      <c r="L54" s="9"/>
      <c r="M54" s="9"/>
    </row>
    <row r="55" spans="1:13" x14ac:dyDescent="0.35">
      <c r="A55" s="9"/>
      <c r="B55" s="9"/>
      <c r="C55" s="9"/>
      <c r="D55" s="9"/>
      <c r="E55" s="9"/>
      <c r="F55" s="9"/>
      <c r="G55" s="9"/>
      <c r="H55" s="9"/>
      <c r="I55" s="9"/>
      <c r="J55" s="19"/>
      <c r="K55" s="9"/>
      <c r="L55" s="9"/>
      <c r="M55" s="9"/>
    </row>
  </sheetData>
  <dataValidations count="2">
    <dataValidation type="list" allowBlank="1" sqref="D6:D1000" xr:uid="{00000000-0002-0000-0300-000000000000}">
      <formula1>"Critical,High,Medium,Low"</formula1>
    </dataValidation>
    <dataValidation type="list" allowBlank="1" sqref="L6:L1000" xr:uid="{00000000-0002-0000-0300-000001000000}">
      <formula1>"Open,In progress,Fixed,Retest,Closed,Won't fix"</formula1>
    </dataValidation>
  </dataValidations>
  <pageMargins left="0.75" right="0.75" top="1" bottom="1" header="0.5" footer="0.5"/>
  <pageSetup fitToHeight="0" orientation="landscape"/>
  <tableParts count="1">
    <tablePart r:id="rId1"/>
  </tableParts>
  <extLst>
    <ext xmlns:x14="http://schemas.microsoft.com/office/spreadsheetml/2009/9/main" uri="{CCE6A557-97BC-4b89-ADB6-D9C93CAAB3DF}">
      <x14:dataValidations xmlns:xm="http://schemas.microsoft.com/office/excel/2006/main" count="1">
        <x14:dataValidation type="list" allowBlank="1" xr:uid="{00000000-0002-0000-0300-000002000000}">
          <x14:formula1>
            <xm:f>'Test Cases'!$A$6:$A$51</xm:f>
          </x14:formula1>
          <xm:sqref>B6:B1000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BFBFBF"/>
    <pageSetUpPr fitToPage="1"/>
  </sheetPr>
  <dimension ref="A1:F28"/>
  <sheetViews>
    <sheetView showGridLines="0" workbookViewId="0"/>
  </sheetViews>
  <sheetFormatPr defaultRowHeight="14.5" x14ac:dyDescent="0.35"/>
  <cols>
    <col min="1" max="1" width="12" customWidth="1"/>
    <col min="2" max="2" width="20" customWidth="1"/>
    <col min="3" max="3" width="50" customWidth="1"/>
    <col min="4" max="5" width="34" customWidth="1"/>
    <col min="6" max="6" width="10" customWidth="1"/>
  </cols>
  <sheetData>
    <row r="1" spans="1:6" x14ac:dyDescent="0.35">
      <c r="A1" s="1" t="s">
        <v>0</v>
      </c>
    </row>
    <row r="2" spans="1:6" ht="20" x14ac:dyDescent="0.4">
      <c r="A2" s="2" t="s">
        <v>500</v>
      </c>
    </row>
    <row r="3" spans="1:6" x14ac:dyDescent="0.35">
      <c r="A3" s="3" t="s">
        <v>501</v>
      </c>
    </row>
    <row r="5" spans="1:6" ht="30" customHeight="1" x14ac:dyDescent="0.35">
      <c r="A5" s="7" t="s">
        <v>502</v>
      </c>
      <c r="B5" s="7" t="s">
        <v>503</v>
      </c>
      <c r="C5" s="7" t="s">
        <v>3</v>
      </c>
      <c r="D5" s="7" t="s">
        <v>504</v>
      </c>
      <c r="E5" s="7" t="s">
        <v>505</v>
      </c>
      <c r="F5" s="7" t="s">
        <v>506</v>
      </c>
    </row>
    <row r="6" spans="1:6" x14ac:dyDescent="0.35">
      <c r="A6" s="8" t="s">
        <v>51</v>
      </c>
      <c r="B6" s="9" t="s">
        <v>507</v>
      </c>
      <c r="C6" s="9" t="s">
        <v>508</v>
      </c>
      <c r="D6" s="9" t="s">
        <v>509</v>
      </c>
      <c r="E6" s="6"/>
      <c r="F6" s="6"/>
    </row>
    <row r="7" spans="1:6" ht="25" x14ac:dyDescent="0.35">
      <c r="A7" s="8" t="s">
        <v>510</v>
      </c>
      <c r="B7" s="9" t="s">
        <v>507</v>
      </c>
      <c r="C7" s="9" t="s">
        <v>511</v>
      </c>
      <c r="D7" s="9" t="s">
        <v>512</v>
      </c>
      <c r="E7" s="6"/>
      <c r="F7" s="6"/>
    </row>
    <row r="8" spans="1:6" ht="25" x14ac:dyDescent="0.35">
      <c r="A8" s="8" t="s">
        <v>513</v>
      </c>
      <c r="B8" s="9" t="s">
        <v>514</v>
      </c>
      <c r="C8" s="9" t="s">
        <v>515</v>
      </c>
      <c r="D8" s="9" t="s">
        <v>516</v>
      </c>
      <c r="E8" s="6"/>
      <c r="F8" s="6"/>
    </row>
    <row r="9" spans="1:6" x14ac:dyDescent="0.35">
      <c r="A9" s="8" t="s">
        <v>209</v>
      </c>
      <c r="B9" s="9" t="s">
        <v>517</v>
      </c>
      <c r="C9" s="9" t="s">
        <v>518</v>
      </c>
      <c r="D9" s="9" t="s">
        <v>519</v>
      </c>
      <c r="E9" s="6"/>
      <c r="F9" s="6"/>
    </row>
    <row r="10" spans="1:6" x14ac:dyDescent="0.35">
      <c r="A10" s="8" t="s">
        <v>520</v>
      </c>
      <c r="B10" s="9" t="s">
        <v>517</v>
      </c>
      <c r="C10" s="9" t="s">
        <v>521</v>
      </c>
      <c r="D10" s="9" t="s">
        <v>522</v>
      </c>
      <c r="E10" s="6"/>
      <c r="F10" s="6"/>
    </row>
    <row r="11" spans="1:6" x14ac:dyDescent="0.35">
      <c r="A11" s="8" t="s">
        <v>523</v>
      </c>
      <c r="B11" s="9" t="s">
        <v>524</v>
      </c>
      <c r="C11" s="9" t="s">
        <v>525</v>
      </c>
      <c r="D11" s="9" t="s">
        <v>526</v>
      </c>
      <c r="E11" s="6"/>
      <c r="F11" s="6"/>
    </row>
    <row r="12" spans="1:6" x14ac:dyDescent="0.35">
      <c r="A12" s="8" t="s">
        <v>137</v>
      </c>
      <c r="B12" s="9" t="s">
        <v>527</v>
      </c>
      <c r="C12" s="9" t="s">
        <v>528</v>
      </c>
      <c r="D12" s="9" t="s">
        <v>529</v>
      </c>
      <c r="E12" s="6"/>
      <c r="F12" s="6"/>
    </row>
    <row r="13" spans="1:6" ht="25" x14ac:dyDescent="0.35">
      <c r="A13" s="8" t="s">
        <v>179</v>
      </c>
      <c r="B13" s="9" t="s">
        <v>527</v>
      </c>
      <c r="C13" s="9" t="s">
        <v>530</v>
      </c>
      <c r="D13" s="9" t="s">
        <v>531</v>
      </c>
      <c r="E13" s="6"/>
      <c r="F13" s="6"/>
    </row>
    <row r="14" spans="1:6" ht="25" x14ac:dyDescent="0.35">
      <c r="A14" s="8" t="s">
        <v>73</v>
      </c>
      <c r="B14" s="9" t="s">
        <v>527</v>
      </c>
      <c r="C14" s="9" t="s">
        <v>532</v>
      </c>
      <c r="D14" s="9" t="s">
        <v>533</v>
      </c>
      <c r="E14" s="6"/>
      <c r="F14" s="6"/>
    </row>
    <row r="15" spans="1:6" x14ac:dyDescent="0.35">
      <c r="A15" s="8" t="s">
        <v>381</v>
      </c>
      <c r="B15" s="9" t="s">
        <v>534</v>
      </c>
      <c r="C15" s="9" t="s">
        <v>535</v>
      </c>
      <c r="D15" s="9" t="s">
        <v>536</v>
      </c>
      <c r="E15" s="6"/>
      <c r="F15" s="6"/>
    </row>
    <row r="16" spans="1:6" x14ac:dyDescent="0.35">
      <c r="A16" s="8" t="s">
        <v>537</v>
      </c>
      <c r="B16" s="9" t="s">
        <v>534</v>
      </c>
      <c r="C16" s="9" t="s">
        <v>538</v>
      </c>
      <c r="D16" s="9" t="s">
        <v>539</v>
      </c>
      <c r="E16" s="6"/>
      <c r="F16" s="6"/>
    </row>
    <row r="17" spans="1:6" x14ac:dyDescent="0.35">
      <c r="A17" s="16" t="s">
        <v>540</v>
      </c>
    </row>
    <row r="19" spans="1:6" ht="15.5" x14ac:dyDescent="0.35">
      <c r="A19" s="15" t="s">
        <v>541</v>
      </c>
    </row>
    <row r="20" spans="1:6" ht="30" customHeight="1" x14ac:dyDescent="0.35">
      <c r="A20" s="7" t="s">
        <v>542</v>
      </c>
      <c r="B20" s="7" t="s">
        <v>543</v>
      </c>
      <c r="C20" s="7" t="s">
        <v>544</v>
      </c>
      <c r="D20" s="7" t="s">
        <v>545</v>
      </c>
      <c r="E20" s="7" t="s">
        <v>546</v>
      </c>
      <c r="F20" s="7" t="s">
        <v>506</v>
      </c>
    </row>
    <row r="21" spans="1:6" ht="37.5" x14ac:dyDescent="0.35">
      <c r="A21" s="9">
        <v>1</v>
      </c>
      <c r="B21" s="9" t="s">
        <v>547</v>
      </c>
      <c r="C21" s="9" t="s">
        <v>548</v>
      </c>
      <c r="D21" s="9" t="s">
        <v>549</v>
      </c>
      <c r="E21" s="6"/>
      <c r="F21" s="6"/>
    </row>
    <row r="22" spans="1:6" ht="25" x14ac:dyDescent="0.35">
      <c r="A22" s="9">
        <v>2</v>
      </c>
      <c r="B22" s="9" t="s">
        <v>550</v>
      </c>
      <c r="C22" s="9" t="s">
        <v>551</v>
      </c>
      <c r="D22" s="9" t="s">
        <v>552</v>
      </c>
      <c r="E22" s="6"/>
      <c r="F22" s="6"/>
    </row>
    <row r="23" spans="1:6" x14ac:dyDescent="0.35">
      <c r="A23" s="9">
        <v>3</v>
      </c>
      <c r="B23" s="9" t="s">
        <v>553</v>
      </c>
      <c r="C23" s="9" t="s">
        <v>554</v>
      </c>
      <c r="D23" s="9" t="s">
        <v>282</v>
      </c>
      <c r="E23" s="6"/>
      <c r="F23" s="6"/>
    </row>
    <row r="24" spans="1:6" x14ac:dyDescent="0.35">
      <c r="A24" s="9">
        <v>4</v>
      </c>
      <c r="B24" s="9" t="s">
        <v>555</v>
      </c>
      <c r="C24" s="9" t="s">
        <v>556</v>
      </c>
      <c r="D24" s="9" t="s">
        <v>342</v>
      </c>
      <c r="E24" s="6"/>
      <c r="F24" s="6"/>
    </row>
    <row r="25" spans="1:6" x14ac:dyDescent="0.35">
      <c r="A25" s="9">
        <v>5</v>
      </c>
      <c r="B25" s="9" t="s">
        <v>557</v>
      </c>
      <c r="C25" s="9" t="s">
        <v>558</v>
      </c>
      <c r="D25" s="9" t="s">
        <v>126</v>
      </c>
      <c r="E25" s="6"/>
      <c r="F25" s="6"/>
    </row>
    <row r="26" spans="1:6" ht="25" x14ac:dyDescent="0.35">
      <c r="A26" s="9">
        <v>6</v>
      </c>
      <c r="B26" s="9" t="s">
        <v>559</v>
      </c>
      <c r="C26" s="9" t="s">
        <v>560</v>
      </c>
      <c r="D26" s="9" t="s">
        <v>292</v>
      </c>
      <c r="E26" s="6"/>
      <c r="F26" s="6"/>
    </row>
    <row r="27" spans="1:6" ht="25" x14ac:dyDescent="0.35">
      <c r="A27" s="9">
        <v>7</v>
      </c>
      <c r="B27" s="9" t="s">
        <v>561</v>
      </c>
      <c r="C27" s="9" t="s">
        <v>562</v>
      </c>
      <c r="D27" s="9" t="s">
        <v>563</v>
      </c>
      <c r="E27" s="6"/>
      <c r="F27" s="6"/>
    </row>
    <row r="28" spans="1:6" ht="25" x14ac:dyDescent="0.35">
      <c r="A28" s="9">
        <v>8</v>
      </c>
      <c r="B28" s="9" t="s">
        <v>564</v>
      </c>
      <c r="C28" s="9" t="s">
        <v>565</v>
      </c>
      <c r="D28" s="9" t="s">
        <v>410</v>
      </c>
      <c r="E28" s="6"/>
      <c r="F28" s="6"/>
    </row>
  </sheetData>
  <pageMargins left="0.75" right="0.75" top="1" bottom="1" header="0.5" footer="0.5"/>
  <pageSetup fitToHeight="0"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BFBFBF"/>
    <pageSetUpPr fitToPage="1"/>
  </sheetPr>
  <dimension ref="A1:G16"/>
  <sheetViews>
    <sheetView showGridLines="0" workbookViewId="0"/>
  </sheetViews>
  <sheetFormatPr defaultRowHeight="14.5" x14ac:dyDescent="0.35"/>
  <cols>
    <col min="1" max="1" width="26" customWidth="1"/>
    <col min="2" max="2" width="24" customWidth="1"/>
    <col min="3" max="3" width="20" customWidth="1"/>
    <col min="4" max="4" width="26" customWidth="1"/>
    <col min="5" max="5" width="44" customWidth="1"/>
    <col min="6" max="6" width="20" customWidth="1"/>
    <col min="7" max="7" width="13" customWidth="1"/>
  </cols>
  <sheetData>
    <row r="1" spans="1:7" x14ac:dyDescent="0.35">
      <c r="A1" s="1" t="s">
        <v>0</v>
      </c>
    </row>
    <row r="2" spans="1:7" ht="20" x14ac:dyDescent="0.4">
      <c r="A2" s="2" t="s">
        <v>566</v>
      </c>
    </row>
    <row r="3" spans="1:7" x14ac:dyDescent="0.35">
      <c r="A3" s="3" t="s">
        <v>567</v>
      </c>
    </row>
    <row r="5" spans="1:7" ht="30" customHeight="1" x14ac:dyDescent="0.35">
      <c r="A5" s="7" t="s">
        <v>568</v>
      </c>
      <c r="B5" s="7" t="s">
        <v>569</v>
      </c>
      <c r="C5" s="7" t="s">
        <v>570</v>
      </c>
      <c r="D5" s="7" t="s">
        <v>571</v>
      </c>
      <c r="E5" s="7" t="s">
        <v>572</v>
      </c>
      <c r="F5" s="7" t="s">
        <v>573</v>
      </c>
      <c r="G5" s="7" t="s">
        <v>43</v>
      </c>
    </row>
    <row r="6" spans="1:7" ht="36" customHeight="1" x14ac:dyDescent="0.35">
      <c r="A6" s="8" t="s">
        <v>574</v>
      </c>
      <c r="B6" s="6"/>
      <c r="C6" s="6"/>
      <c r="D6" s="6"/>
      <c r="E6" s="6"/>
      <c r="F6" s="6"/>
      <c r="G6" s="10"/>
    </row>
    <row r="7" spans="1:7" ht="36" customHeight="1" x14ac:dyDescent="0.35">
      <c r="A7" s="8" t="s">
        <v>575</v>
      </c>
      <c r="B7" s="6"/>
      <c r="C7" s="6"/>
      <c r="D7" s="6"/>
      <c r="E7" s="6"/>
      <c r="F7" s="6"/>
      <c r="G7" s="10"/>
    </row>
    <row r="8" spans="1:7" ht="36" customHeight="1" x14ac:dyDescent="0.35">
      <c r="A8" s="8" t="s">
        <v>576</v>
      </c>
      <c r="B8" s="6"/>
      <c r="C8" s="6"/>
      <c r="D8" s="6"/>
      <c r="E8" s="6"/>
      <c r="F8" s="6"/>
      <c r="G8" s="10"/>
    </row>
    <row r="9" spans="1:7" ht="36" customHeight="1" x14ac:dyDescent="0.35">
      <c r="A9" s="8" t="s">
        <v>577</v>
      </c>
      <c r="B9" s="6"/>
      <c r="C9" s="6"/>
      <c r="D9" s="6"/>
      <c r="E9" s="6"/>
      <c r="F9" s="6"/>
      <c r="G9" s="10"/>
    </row>
    <row r="11" spans="1:7" x14ac:dyDescent="0.35">
      <c r="A11" s="4" t="s">
        <v>578</v>
      </c>
    </row>
    <row r="12" spans="1:7" x14ac:dyDescent="0.35">
      <c r="A12" s="20" t="s">
        <v>579</v>
      </c>
    </row>
    <row r="13" spans="1:7" x14ac:dyDescent="0.35">
      <c r="A13" s="20" t="s">
        <v>580</v>
      </c>
    </row>
    <row r="14" spans="1:7" x14ac:dyDescent="0.35">
      <c r="A14" s="20" t="s">
        <v>581</v>
      </c>
    </row>
    <row r="16" spans="1:7" x14ac:dyDescent="0.35">
      <c r="A16" s="4" t="s">
        <v>582</v>
      </c>
      <c r="B16" s="4" t="str">
        <f>'Summary Dashboard'!B35</f>
        <v>No</v>
      </c>
    </row>
  </sheetData>
  <dataValidations count="1">
    <dataValidation type="list" allowBlank="1" sqref="D6:D9" xr:uid="{00000000-0002-0000-0500-000000000000}">
      <formula1>"Approved,Approved with conditions,Rejected"</formula1>
    </dataValidation>
  </dataValidation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Cover</vt:lpstr>
      <vt:lpstr>Test Cases</vt:lpstr>
      <vt:lpstr>Summary Dashboard</vt:lpstr>
      <vt:lpstr>Defect Log</vt:lpstr>
      <vt:lpstr>Test Accounts &amp; Data</vt:lpstr>
      <vt:lpstr>Sign-off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Christopher Gerard</cp:lastModifiedBy>
  <dcterms:created xsi:type="dcterms:W3CDTF">2026-10-07T04:48:20Z</dcterms:created>
  <dcterms:modified xsi:type="dcterms:W3CDTF">2026-10-07T04:48:27Z</dcterms:modified>
</cp:coreProperties>
</file>